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1.xml" ContentType="application/vnd.openxmlformats-officedocument.spreadsheetml.comments+xml"/>
  <Override PartName="/xl/drawings/drawing18.xml" ContentType="application/vnd.openxmlformats-officedocument.drawing+xml"/>
  <Override PartName="/xl/comments12.xml" ContentType="application/vnd.openxmlformats-officedocument.spreadsheetml.comments+xml"/>
  <Override PartName="/xl/drawings/drawing19.xml" ContentType="application/vnd.openxmlformats-officedocument.drawing+xml"/>
  <Override PartName="/xl/comments13.xml" ContentType="application/vnd.openxmlformats-officedocument.spreadsheetml.comments+xml"/>
  <Override PartName="/xl/drawings/drawing20.xml" ContentType="application/vnd.openxmlformats-officedocument.drawing+xml"/>
  <Override PartName="/xl/comments14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15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omments16.xml" ContentType="application/vnd.openxmlformats-officedocument.spreadsheetml.comments+xml"/>
  <Override PartName="/xl/drawings/drawing25.xml" ContentType="application/vnd.openxmlformats-officedocument.drawing+xml"/>
  <Override PartName="/xl/comments17.xml" ContentType="application/vnd.openxmlformats-officedocument.spreadsheetml.comments+xml"/>
  <Override PartName="/xl/drawings/drawing26.xml" ContentType="application/vnd.openxmlformats-officedocument.drawing+xml"/>
  <Override PartName="/xl/comments18.xml" ContentType="application/vnd.openxmlformats-officedocument.spreadsheetml.comments+xml"/>
  <Override PartName="/xl/drawings/drawing27.xml" ContentType="application/vnd.openxmlformats-officedocument.drawing+xml"/>
  <Override PartName="/xl/comments19.xml" ContentType="application/vnd.openxmlformats-officedocument.spreadsheetml.comments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omments20.xml" ContentType="application/vnd.openxmlformats-officedocument.spreadsheetml.comments+xml"/>
  <Override PartName="/xl/drawings/drawing30.xml" ContentType="application/vnd.openxmlformats-officedocument.drawing+xml"/>
  <Override PartName="/xl/comments21.xml" ContentType="application/vnd.openxmlformats-officedocument.spreadsheetml.comments+xml"/>
  <Override PartName="/xl/drawings/drawing31.xml" ContentType="application/vnd.openxmlformats-officedocument.drawing+xml"/>
  <Override PartName="/xl/comments22.xml" ContentType="application/vnd.openxmlformats-officedocument.spreadsheetml.comments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HKD\6. INVENTORIES &amp; UNIT SETTING UP\2. INVENTORIES COUNT\2. STOCK POOL F&amp;B\3. STOCK POOL F&amp;B 2026\"/>
    </mc:Choice>
  </mc:AlternateContent>
  <xr:revisionPtr revIDLastSave="0" documentId="13_ncr:1_{3E6A1D73-2D06-4651-B660-2DB94BBB648C}" xr6:coauthVersionLast="47" xr6:coauthVersionMax="47" xr10:uidLastSave="{00000000-0000-0000-0000-000000000000}"/>
  <bookViews>
    <workbookView xWindow="-108" yWindow="-108" windowWidth="23256" windowHeight="12456" tabRatio="826" firstSheet="4" activeTab="25" xr2:uid="{326B348C-4549-4303-B307-AAFD1162C685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Summary" sheetId="32" r:id="rId32"/>
    <sheet name="POSTED" sheetId="33" r:id="rId33"/>
  </sheets>
  <definedNames>
    <definedName name="_xlnm._FilterDatabase" localSheetId="0" hidden="1">'01'!$A$5:$V$8</definedName>
    <definedName name="_xlnm._FilterDatabase" localSheetId="1" hidden="1">'02'!$A$5:$V$8</definedName>
    <definedName name="_xlnm._FilterDatabase" localSheetId="2" hidden="1">'03'!$A$5:$V$8</definedName>
    <definedName name="_xlnm._FilterDatabase" localSheetId="3" hidden="1">'04'!$A$5:$V$8</definedName>
    <definedName name="_xlnm._FilterDatabase" localSheetId="4" hidden="1">'05'!$A$5:$V$8</definedName>
    <definedName name="_xlnm._FilterDatabase" localSheetId="5" hidden="1">'06'!$A$5:$V$8</definedName>
    <definedName name="_xlnm._FilterDatabase" localSheetId="6" hidden="1">'07'!$A$5:$V$8</definedName>
    <definedName name="_xlnm._FilterDatabase" localSheetId="7" hidden="1">'08'!$A$5:$V$8</definedName>
    <definedName name="_xlnm._FilterDatabase" localSheetId="8" hidden="1">'09'!$A$5:$V$8</definedName>
    <definedName name="_xlnm._FilterDatabase" localSheetId="9" hidden="1">'10'!$A$5:$V$8</definedName>
    <definedName name="_xlnm._FilterDatabase" localSheetId="10" hidden="1">'11'!$A$5:$V$8</definedName>
    <definedName name="_xlnm._FilterDatabase" localSheetId="11" hidden="1">'12'!$A$5:$V$8</definedName>
    <definedName name="_xlnm._FilterDatabase" localSheetId="12" hidden="1">'13'!$A$5:$V$8</definedName>
    <definedName name="_xlnm._FilterDatabase" localSheetId="13" hidden="1">'14'!$A$5:$V$8</definedName>
    <definedName name="_xlnm._FilterDatabase" localSheetId="14" hidden="1">'15'!$A$5:$V$8</definedName>
    <definedName name="_xlnm._FilterDatabase" localSheetId="15" hidden="1">'16'!$A$5:$V$8</definedName>
    <definedName name="_xlnm._FilterDatabase" localSheetId="16" hidden="1">'17'!$A$5:$V$8</definedName>
    <definedName name="_xlnm._FilterDatabase" localSheetId="17" hidden="1">'18'!$A$5:$V$8</definedName>
    <definedName name="_xlnm._FilterDatabase" localSheetId="18" hidden="1">'19'!$A$5:$V$8</definedName>
    <definedName name="_xlnm._FilterDatabase" localSheetId="19" hidden="1">'20'!$A$5:$V$8</definedName>
    <definedName name="_xlnm._FilterDatabase" localSheetId="20" hidden="1">'21'!$A$5:$V$8</definedName>
    <definedName name="_xlnm._FilterDatabase" localSheetId="21" hidden="1">'22'!$A$5:$V$8</definedName>
    <definedName name="_xlnm._FilterDatabase" localSheetId="22" hidden="1">'23'!$A$5:$V$8</definedName>
    <definedName name="_xlnm._FilterDatabase" localSheetId="23" hidden="1">'24'!$A$5:$V$8</definedName>
    <definedName name="_xlnm._FilterDatabase" localSheetId="24" hidden="1">'25'!$A$5:$V$8</definedName>
    <definedName name="_xlnm._FilterDatabase" localSheetId="25" hidden="1">'26'!$A$5:$V$8</definedName>
    <definedName name="_xlnm._FilterDatabase" localSheetId="26" hidden="1">'27'!$A$5:$V$8</definedName>
    <definedName name="_xlnm._FilterDatabase" localSheetId="27" hidden="1">'28'!$A$5:$V$8</definedName>
    <definedName name="_xlnm._FilterDatabase" localSheetId="28" hidden="1">'29'!$A$5:$V$8</definedName>
    <definedName name="_xlnm._FilterDatabase" localSheetId="29" hidden="1">'30'!$A$5:$V$8</definedName>
    <definedName name="_xlnm._FilterDatabase" localSheetId="30" hidden="1">'31'!$A$5:$V$8</definedName>
    <definedName name="_xlnm._FilterDatabase" localSheetId="31" hidden="1">Summary!$A$5:$V$8</definedName>
    <definedName name="_xlnm.Print_Area" localSheetId="0">'01'!$A$1:$V$47</definedName>
    <definedName name="_xlnm.Print_Area" localSheetId="1">'02'!$A$1:$V$47</definedName>
    <definedName name="_xlnm.Print_Area" localSheetId="2">'03'!$A$1:$W$47</definedName>
    <definedName name="_xlnm.Print_Area" localSheetId="3">'04'!$A$1:$V$47</definedName>
    <definedName name="_xlnm.Print_Area" localSheetId="4">'05'!$A$1:$V$47</definedName>
    <definedName name="_xlnm.Print_Area" localSheetId="5">'06'!$A$1:$V$47</definedName>
    <definedName name="_xlnm.Print_Area" localSheetId="6">'07'!$A$1:$V$47</definedName>
    <definedName name="_xlnm.Print_Area" localSheetId="7">'08'!$A$1:$V$47</definedName>
    <definedName name="_xlnm.Print_Area" localSheetId="8">'09'!$A$1:$V$47</definedName>
    <definedName name="_xlnm.Print_Area" localSheetId="9">'10'!$A$1:$V$47</definedName>
    <definedName name="_xlnm.Print_Area" localSheetId="10">'11'!$A$1:$V$47</definedName>
    <definedName name="_xlnm.Print_Area" localSheetId="11">'12'!$A$1:$V$47</definedName>
    <definedName name="_xlnm.Print_Area" localSheetId="12">'13'!$A$1:$V$47</definedName>
    <definedName name="_xlnm.Print_Area" localSheetId="13">'14'!$A$1:$V$47</definedName>
    <definedName name="_xlnm.Print_Area" localSheetId="14">'15'!$A$1:$V$47</definedName>
    <definedName name="_xlnm.Print_Area" localSheetId="15">'16'!$A$1:$V$47</definedName>
    <definedName name="_xlnm.Print_Area" localSheetId="16">'17'!$A$1:$V$47</definedName>
    <definedName name="_xlnm.Print_Area" localSheetId="17">'18'!$A$1:$V$47</definedName>
    <definedName name="_xlnm.Print_Area" localSheetId="18">'19'!$A$1:$V$47</definedName>
    <definedName name="_xlnm.Print_Area" localSheetId="19">'20'!$A$1:$V$47</definedName>
    <definedName name="_xlnm.Print_Area" localSheetId="20">'21'!$A$1:$V$47</definedName>
    <definedName name="_xlnm.Print_Area" localSheetId="21">'22'!$A$1:$V$47</definedName>
    <definedName name="_xlnm.Print_Area" localSheetId="22">'23'!$A$1:$V$47</definedName>
    <definedName name="_xlnm.Print_Area" localSheetId="23">'24'!$A$1:$V$47</definedName>
    <definedName name="_xlnm.Print_Area" localSheetId="24">'25'!$A$1:$V$47</definedName>
    <definedName name="_xlnm.Print_Area" localSheetId="25">'26'!$A$1:$V$47</definedName>
    <definedName name="_xlnm.Print_Area" localSheetId="26">'27'!$A$1:$V$47</definedName>
    <definedName name="_xlnm.Print_Area" localSheetId="27">'28'!$A$1:$V$47</definedName>
    <definedName name="_xlnm.Print_Area" localSheetId="28">'29'!$A$1:$V$47</definedName>
    <definedName name="_xlnm.Print_Area" localSheetId="29">'30'!$A$1:$V$47</definedName>
    <definedName name="_xlnm.Print_Area" localSheetId="30">'31'!$A$1:$V$47</definedName>
    <definedName name="_xlnm.Print_Area" localSheetId="31">Summary!$A$1:$V$47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24" l="1"/>
  <c r="I11" i="24"/>
  <c r="I9" i="24"/>
  <c r="I8" i="24"/>
  <c r="Y18" i="27"/>
  <c r="Z18" i="27"/>
  <c r="R15" i="8"/>
  <c r="E20" i="32" a="1"/>
  <c r="E20" i="32"/>
  <c r="E17" i="32"/>
  <c r="E9" i="32"/>
  <c r="E10" i="32"/>
  <c r="E11" i="32"/>
  <c r="E12" i="32"/>
  <c r="E13" i="32"/>
  <c r="E14" i="32"/>
  <c r="E8" i="32"/>
  <c r="AA17" i="4" l="1"/>
  <c r="AB17" i="4"/>
  <c r="AA9" i="4"/>
  <c r="AB9" i="4"/>
  <c r="AA11" i="4"/>
  <c r="AB11" i="4"/>
  <c r="AA13" i="4"/>
  <c r="AB13" i="4"/>
  <c r="D8" i="32"/>
  <c r="D9" i="32"/>
  <c r="D17" i="32"/>
  <c r="E24" i="32" l="1"/>
  <c r="K22" i="32" l="1"/>
  <c r="K23" i="32"/>
  <c r="K24" i="32"/>
  <c r="K21" i="32"/>
  <c r="K20" i="32"/>
  <c r="AA18" i="25" l="1"/>
  <c r="AB18" i="25"/>
  <c r="AA18" i="26"/>
  <c r="AB18" i="26"/>
  <c r="AA18" i="22"/>
  <c r="AB18" i="22"/>
  <c r="X16" i="32"/>
  <c r="X19" i="32"/>
  <c r="K10" i="32"/>
  <c r="K12" i="32"/>
  <c r="K13" i="32"/>
  <c r="K14" i="32"/>
  <c r="H21" i="32"/>
  <c r="H22" i="32"/>
  <c r="H23" i="32"/>
  <c r="H24" i="32"/>
  <c r="R21" i="32"/>
  <c r="R22" i="32"/>
  <c r="R23" i="32"/>
  <c r="R24" i="32"/>
  <c r="R20" i="32"/>
  <c r="T20" i="32" s="1"/>
  <c r="H20" i="32"/>
  <c r="H17" i="32"/>
  <c r="H9" i="32"/>
  <c r="H10" i="32"/>
  <c r="H11" i="32"/>
  <c r="K11" i="32" s="1"/>
  <c r="H12" i="32"/>
  <c r="H13" i="32"/>
  <c r="H14" i="32"/>
  <c r="H8" i="32"/>
  <c r="R17" i="32"/>
  <c r="R9" i="32"/>
  <c r="R10" i="32"/>
  <c r="R11" i="32"/>
  <c r="R12" i="32"/>
  <c r="R13" i="32"/>
  <c r="R14" i="32"/>
  <c r="R8" i="32"/>
  <c r="N21" i="32"/>
  <c r="N22" i="32"/>
  <c r="N23" i="32"/>
  <c r="N24" i="32"/>
  <c r="N20" i="32"/>
  <c r="N17" i="32"/>
  <c r="N9" i="32"/>
  <c r="N10" i="32"/>
  <c r="N11" i="32"/>
  <c r="N12" i="32"/>
  <c r="N13" i="32"/>
  <c r="N14" i="32"/>
  <c r="N8" i="32"/>
  <c r="Z17" i="31"/>
  <c r="Z16" i="31"/>
  <c r="Z17" i="30"/>
  <c r="Z16" i="30"/>
  <c r="Z17" i="28"/>
  <c r="Z16" i="28"/>
  <c r="Z17" i="27"/>
  <c r="Y17" i="27"/>
  <c r="Z17" i="26"/>
  <c r="Z16" i="26"/>
  <c r="Z15" i="26"/>
  <c r="Z16" i="25"/>
  <c r="Z16" i="24"/>
  <c r="Z15" i="24"/>
  <c r="Z15" i="22"/>
  <c r="Z17" i="21"/>
  <c r="Z16" i="21"/>
  <c r="Z16" i="20"/>
  <c r="Z16" i="19"/>
  <c r="Z17" i="18"/>
  <c r="Z16" i="18"/>
  <c r="Z17" i="17"/>
  <c r="Z16" i="17"/>
  <c r="Z15" i="17"/>
  <c r="Z17" i="16"/>
  <c r="Z16" i="16"/>
  <c r="Z17" i="15"/>
  <c r="Z16" i="15"/>
  <c r="Z16" i="14"/>
  <c r="Z17" i="13"/>
  <c r="Z16" i="13"/>
  <c r="Y16" i="13"/>
  <c r="Y17" i="13"/>
  <c r="Y18" i="13"/>
  <c r="Y19" i="13"/>
  <c r="Z17" i="10"/>
  <c r="Z16" i="10"/>
  <c r="Z17" i="6"/>
  <c r="Z16" i="6"/>
  <c r="Z17" i="5"/>
  <c r="AA17" i="3"/>
  <c r="AA18" i="4"/>
  <c r="AA19" i="4"/>
  <c r="AB10" i="3"/>
  <c r="Y8" i="1"/>
  <c r="Z15" i="2"/>
  <c r="Z17" i="2"/>
  <c r="Z17" i="1"/>
  <c r="D39" i="32"/>
  <c r="C39" i="32"/>
  <c r="B39" i="32"/>
  <c r="D38" i="32"/>
  <c r="C38" i="32"/>
  <c r="B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C24" i="32"/>
  <c r="B24" i="32"/>
  <c r="D23" i="32"/>
  <c r="C23" i="32"/>
  <c r="B23" i="32"/>
  <c r="D22" i="32"/>
  <c r="C22" i="32"/>
  <c r="B22" i="32"/>
  <c r="D21" i="32"/>
  <c r="C21" i="32"/>
  <c r="B21" i="32"/>
  <c r="D20" i="32"/>
  <c r="C20" i="32"/>
  <c r="B20" i="32"/>
  <c r="D19" i="32"/>
  <c r="W19" i="32" s="1"/>
  <c r="C19" i="32"/>
  <c r="B19" i="32"/>
  <c r="D18" i="32"/>
  <c r="C18" i="32"/>
  <c r="B18" i="32"/>
  <c r="C17" i="32"/>
  <c r="B17" i="32"/>
  <c r="D16" i="32"/>
  <c r="W16" i="32" s="1"/>
  <c r="C16" i="32"/>
  <c r="B16" i="32"/>
  <c r="D15" i="32"/>
  <c r="C15" i="32"/>
  <c r="B15" i="32"/>
  <c r="D14" i="32"/>
  <c r="C14" i="32"/>
  <c r="B14" i="32"/>
  <c r="D13" i="32"/>
  <c r="C13" i="32"/>
  <c r="B13" i="32"/>
  <c r="D12" i="32"/>
  <c r="C12" i="32"/>
  <c r="B12" i="32"/>
  <c r="D11" i="32"/>
  <c r="C11" i="32"/>
  <c r="B11" i="32"/>
  <c r="D10" i="32"/>
  <c r="C10" i="32"/>
  <c r="B10" i="32"/>
  <c r="C9" i="32"/>
  <c r="B9" i="32"/>
  <c r="C8" i="32"/>
  <c r="B8" i="32"/>
  <c r="B7" i="32"/>
  <c r="D39" i="31"/>
  <c r="C39" i="31"/>
  <c r="B39" i="31"/>
  <c r="D38" i="31"/>
  <c r="C38" i="31"/>
  <c r="B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C24" i="31"/>
  <c r="B24" i="31"/>
  <c r="D23" i="31"/>
  <c r="C23" i="31"/>
  <c r="B23" i="31"/>
  <c r="D22" i="31"/>
  <c r="C22" i="31"/>
  <c r="B22" i="31"/>
  <c r="D21" i="31"/>
  <c r="C21" i="31"/>
  <c r="B21" i="31"/>
  <c r="D20" i="31"/>
  <c r="C20" i="31"/>
  <c r="B20" i="31"/>
  <c r="D19" i="31"/>
  <c r="C19" i="31"/>
  <c r="B19" i="31"/>
  <c r="D18" i="31"/>
  <c r="C18" i="31"/>
  <c r="B18" i="31"/>
  <c r="D17" i="31"/>
  <c r="C17" i="31"/>
  <c r="B17" i="31"/>
  <c r="D16" i="31"/>
  <c r="C16" i="31"/>
  <c r="B16" i="31"/>
  <c r="D15" i="31"/>
  <c r="C15" i="31"/>
  <c r="B15" i="31"/>
  <c r="D14" i="31"/>
  <c r="C14" i="31"/>
  <c r="B14" i="31"/>
  <c r="D13" i="31"/>
  <c r="C13" i="31"/>
  <c r="B13" i="31"/>
  <c r="D12" i="31"/>
  <c r="C12" i="31"/>
  <c r="B12" i="31"/>
  <c r="D11" i="31"/>
  <c r="C11" i="31"/>
  <c r="B11" i="31"/>
  <c r="D10" i="31"/>
  <c r="C10" i="31"/>
  <c r="B10" i="31"/>
  <c r="D9" i="31"/>
  <c r="C9" i="31"/>
  <c r="B9" i="31"/>
  <c r="D8" i="31"/>
  <c r="C8" i="31"/>
  <c r="B8" i="31"/>
  <c r="B7" i="31"/>
  <c r="D39" i="30"/>
  <c r="C39" i="30"/>
  <c r="B39" i="30"/>
  <c r="D38" i="30"/>
  <c r="C38" i="30"/>
  <c r="B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C24" i="30"/>
  <c r="B24" i="30"/>
  <c r="D23" i="30"/>
  <c r="C23" i="30"/>
  <c r="B23" i="30"/>
  <c r="D22" i="30"/>
  <c r="C22" i="30"/>
  <c r="B22" i="30"/>
  <c r="D21" i="30"/>
  <c r="C21" i="30"/>
  <c r="B21" i="30"/>
  <c r="D20" i="30"/>
  <c r="C20" i="30"/>
  <c r="B20" i="30"/>
  <c r="D19" i="30"/>
  <c r="C19" i="30"/>
  <c r="B19" i="30"/>
  <c r="D18" i="30"/>
  <c r="C18" i="30"/>
  <c r="B18" i="30"/>
  <c r="D17" i="30"/>
  <c r="C17" i="30"/>
  <c r="B17" i="30"/>
  <c r="D16" i="30"/>
  <c r="C16" i="30"/>
  <c r="B16" i="30"/>
  <c r="D15" i="30"/>
  <c r="C15" i="30"/>
  <c r="B15" i="30"/>
  <c r="D14" i="30"/>
  <c r="C14" i="30"/>
  <c r="B14" i="30"/>
  <c r="D13" i="30"/>
  <c r="C13" i="30"/>
  <c r="B13" i="30"/>
  <c r="D12" i="30"/>
  <c r="C12" i="30"/>
  <c r="B12" i="30"/>
  <c r="D11" i="30"/>
  <c r="C11" i="30"/>
  <c r="B11" i="30"/>
  <c r="D10" i="30"/>
  <c r="C10" i="30"/>
  <c r="B10" i="30"/>
  <c r="D9" i="30"/>
  <c r="C9" i="30"/>
  <c r="B9" i="30"/>
  <c r="D8" i="30"/>
  <c r="C8" i="30"/>
  <c r="B8" i="30"/>
  <c r="B7" i="30"/>
  <c r="D39" i="29"/>
  <c r="C39" i="29"/>
  <c r="B39" i="29"/>
  <c r="D38" i="29"/>
  <c r="C38" i="29"/>
  <c r="B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9" i="29"/>
  <c r="C19" i="29"/>
  <c r="B19" i="29"/>
  <c r="D18" i="29"/>
  <c r="C18" i="29"/>
  <c r="B18" i="29"/>
  <c r="D17" i="29"/>
  <c r="C17" i="29"/>
  <c r="B17" i="29"/>
  <c r="D16" i="29"/>
  <c r="C16" i="29"/>
  <c r="B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D8" i="29"/>
  <c r="C8" i="29"/>
  <c r="B8" i="29"/>
  <c r="B7" i="29"/>
  <c r="D39" i="28"/>
  <c r="C39" i="28"/>
  <c r="B39" i="28"/>
  <c r="D38" i="28"/>
  <c r="C38" i="28"/>
  <c r="B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C24" i="28"/>
  <c r="B24" i="28"/>
  <c r="D23" i="28"/>
  <c r="C23" i="28"/>
  <c r="B23" i="28"/>
  <c r="D22" i="28"/>
  <c r="C22" i="28"/>
  <c r="B22" i="28"/>
  <c r="D21" i="28"/>
  <c r="C21" i="28"/>
  <c r="B21" i="28"/>
  <c r="D20" i="28"/>
  <c r="C20" i="28"/>
  <c r="B20" i="28"/>
  <c r="D19" i="28"/>
  <c r="C19" i="28"/>
  <c r="B19" i="28"/>
  <c r="D18" i="28"/>
  <c r="C18" i="28"/>
  <c r="B18" i="28"/>
  <c r="D17" i="28"/>
  <c r="C17" i="28"/>
  <c r="B17" i="28"/>
  <c r="D16" i="28"/>
  <c r="C16" i="28"/>
  <c r="B16" i="28"/>
  <c r="D15" i="28"/>
  <c r="C15" i="28"/>
  <c r="B15" i="28"/>
  <c r="D14" i="28"/>
  <c r="C14" i="28"/>
  <c r="B14" i="28"/>
  <c r="D13" i="28"/>
  <c r="C13" i="28"/>
  <c r="B13" i="28"/>
  <c r="D12" i="28"/>
  <c r="C12" i="28"/>
  <c r="B12" i="28"/>
  <c r="D11" i="28"/>
  <c r="C11" i="28"/>
  <c r="B11" i="28"/>
  <c r="D10" i="28"/>
  <c r="C10" i="28"/>
  <c r="B10" i="28"/>
  <c r="D9" i="28"/>
  <c r="C9" i="28"/>
  <c r="B9" i="28"/>
  <c r="D8" i="28"/>
  <c r="C8" i="28"/>
  <c r="B8" i="28"/>
  <c r="B7" i="28"/>
  <c r="D39" i="27"/>
  <c r="C39" i="27"/>
  <c r="B39" i="27"/>
  <c r="D38" i="27"/>
  <c r="C38" i="27"/>
  <c r="B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C24" i="27"/>
  <c r="B24" i="27"/>
  <c r="D23" i="27"/>
  <c r="C23" i="27"/>
  <c r="B23" i="27"/>
  <c r="D22" i="27"/>
  <c r="C22" i="27"/>
  <c r="B22" i="27"/>
  <c r="D21" i="27"/>
  <c r="C21" i="27"/>
  <c r="B21" i="27"/>
  <c r="D20" i="27"/>
  <c r="C20" i="27"/>
  <c r="B20" i="27"/>
  <c r="D19" i="27"/>
  <c r="C19" i="27"/>
  <c r="B19" i="27"/>
  <c r="D18" i="27"/>
  <c r="C18" i="27"/>
  <c r="B18" i="27"/>
  <c r="D17" i="27"/>
  <c r="C17" i="27"/>
  <c r="B17" i="27"/>
  <c r="D16" i="27"/>
  <c r="C16" i="27"/>
  <c r="B16" i="27"/>
  <c r="D15" i="27"/>
  <c r="C15" i="27"/>
  <c r="B15" i="27"/>
  <c r="D14" i="27"/>
  <c r="C14" i="27"/>
  <c r="B14" i="27"/>
  <c r="D13" i="27"/>
  <c r="C13" i="27"/>
  <c r="B13" i="27"/>
  <c r="D12" i="27"/>
  <c r="C12" i="27"/>
  <c r="B12" i="27"/>
  <c r="D11" i="27"/>
  <c r="C11" i="27"/>
  <c r="B11" i="27"/>
  <c r="D10" i="27"/>
  <c r="C10" i="27"/>
  <c r="B10" i="27"/>
  <c r="D9" i="27"/>
  <c r="C9" i="27"/>
  <c r="B9" i="27"/>
  <c r="D8" i="27"/>
  <c r="C8" i="27"/>
  <c r="B8" i="27"/>
  <c r="B7" i="27"/>
  <c r="D39" i="26"/>
  <c r="C39" i="26"/>
  <c r="B39" i="26"/>
  <c r="D38" i="26"/>
  <c r="C38" i="26"/>
  <c r="B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C24" i="26"/>
  <c r="B24" i="26"/>
  <c r="D23" i="26"/>
  <c r="C23" i="26"/>
  <c r="B23" i="26"/>
  <c r="D22" i="26"/>
  <c r="C22" i="26"/>
  <c r="B22" i="26"/>
  <c r="D21" i="26"/>
  <c r="C21" i="26"/>
  <c r="B21" i="26"/>
  <c r="D20" i="26"/>
  <c r="C20" i="26"/>
  <c r="B20" i="26"/>
  <c r="D19" i="26"/>
  <c r="C19" i="26"/>
  <c r="B19" i="26"/>
  <c r="D18" i="26"/>
  <c r="C18" i="26"/>
  <c r="B18" i="26"/>
  <c r="D17" i="26"/>
  <c r="C17" i="26"/>
  <c r="B17" i="26"/>
  <c r="D16" i="26"/>
  <c r="C16" i="26"/>
  <c r="B16" i="26"/>
  <c r="D15" i="26"/>
  <c r="C15" i="26"/>
  <c r="B15" i="26"/>
  <c r="D14" i="26"/>
  <c r="C14" i="26"/>
  <c r="B14" i="26"/>
  <c r="D13" i="26"/>
  <c r="C13" i="26"/>
  <c r="B13" i="26"/>
  <c r="D12" i="26"/>
  <c r="C12" i="26"/>
  <c r="B12" i="26"/>
  <c r="D11" i="26"/>
  <c r="C11" i="26"/>
  <c r="B11" i="26"/>
  <c r="D10" i="26"/>
  <c r="C10" i="26"/>
  <c r="B10" i="26"/>
  <c r="D9" i="26"/>
  <c r="C9" i="26"/>
  <c r="B9" i="26"/>
  <c r="D8" i="26"/>
  <c r="C8" i="26"/>
  <c r="B8" i="26"/>
  <c r="B7" i="26"/>
  <c r="D39" i="25"/>
  <c r="C39" i="25"/>
  <c r="B39" i="25"/>
  <c r="D38" i="25"/>
  <c r="C38" i="25"/>
  <c r="B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C24" i="25"/>
  <c r="B24" i="25"/>
  <c r="D23" i="25"/>
  <c r="C23" i="25"/>
  <c r="B23" i="25"/>
  <c r="D22" i="25"/>
  <c r="C22" i="25"/>
  <c r="B22" i="25"/>
  <c r="D21" i="25"/>
  <c r="C21" i="25"/>
  <c r="B21" i="25"/>
  <c r="D20" i="25"/>
  <c r="C20" i="25"/>
  <c r="B20" i="25"/>
  <c r="D19" i="25"/>
  <c r="C19" i="25"/>
  <c r="B19" i="25"/>
  <c r="D18" i="25"/>
  <c r="C18" i="25"/>
  <c r="B18" i="25"/>
  <c r="D17" i="25"/>
  <c r="C17" i="25"/>
  <c r="B17" i="25"/>
  <c r="D16" i="25"/>
  <c r="C16" i="25"/>
  <c r="B16" i="25"/>
  <c r="D15" i="25"/>
  <c r="C15" i="25"/>
  <c r="B15" i="25"/>
  <c r="D14" i="25"/>
  <c r="C14" i="25"/>
  <c r="B14" i="25"/>
  <c r="D13" i="25"/>
  <c r="C13" i="25"/>
  <c r="B13" i="25"/>
  <c r="D12" i="25"/>
  <c r="C12" i="25"/>
  <c r="B12" i="25"/>
  <c r="D11" i="25"/>
  <c r="C11" i="25"/>
  <c r="B11" i="25"/>
  <c r="D10" i="25"/>
  <c r="C10" i="25"/>
  <c r="B10" i="25"/>
  <c r="D9" i="25"/>
  <c r="C9" i="25"/>
  <c r="B9" i="25"/>
  <c r="D8" i="25"/>
  <c r="C8" i="25"/>
  <c r="B8" i="25"/>
  <c r="B7" i="25"/>
  <c r="D39" i="24"/>
  <c r="C39" i="24"/>
  <c r="B39" i="24"/>
  <c r="D38" i="24"/>
  <c r="C38" i="24"/>
  <c r="B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C24" i="24"/>
  <c r="B24" i="24"/>
  <c r="D23" i="24"/>
  <c r="C23" i="24"/>
  <c r="B23" i="24"/>
  <c r="D22" i="24"/>
  <c r="C22" i="24"/>
  <c r="B22" i="24"/>
  <c r="D21" i="24"/>
  <c r="C21" i="24"/>
  <c r="B21" i="24"/>
  <c r="D20" i="24"/>
  <c r="C20" i="24"/>
  <c r="B20" i="24"/>
  <c r="D19" i="24"/>
  <c r="C19" i="24"/>
  <c r="B19" i="24"/>
  <c r="D18" i="24"/>
  <c r="C18" i="24"/>
  <c r="B18" i="24"/>
  <c r="D17" i="24"/>
  <c r="C17" i="24"/>
  <c r="B17" i="24"/>
  <c r="D16" i="24"/>
  <c r="C16" i="24"/>
  <c r="B16" i="24"/>
  <c r="D15" i="24"/>
  <c r="C15" i="24"/>
  <c r="B15" i="24"/>
  <c r="D14" i="24"/>
  <c r="C14" i="24"/>
  <c r="B14" i="24"/>
  <c r="D13" i="24"/>
  <c r="C13" i="24"/>
  <c r="B13" i="24"/>
  <c r="D12" i="24"/>
  <c r="C12" i="24"/>
  <c r="B12" i="24"/>
  <c r="D11" i="24"/>
  <c r="C11" i="24"/>
  <c r="B11" i="24"/>
  <c r="D10" i="24"/>
  <c r="C10" i="24"/>
  <c r="B10" i="24"/>
  <c r="D9" i="24"/>
  <c r="C9" i="24"/>
  <c r="B9" i="24"/>
  <c r="D8" i="24"/>
  <c r="C8" i="24"/>
  <c r="B8" i="24"/>
  <c r="B7" i="24"/>
  <c r="D39" i="23"/>
  <c r="C39" i="23"/>
  <c r="B39" i="23"/>
  <c r="D38" i="23"/>
  <c r="C38" i="23"/>
  <c r="B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C24" i="23"/>
  <c r="B24" i="23"/>
  <c r="D23" i="23"/>
  <c r="C23" i="23"/>
  <c r="B23" i="23"/>
  <c r="D22" i="23"/>
  <c r="C22" i="23"/>
  <c r="B22" i="23"/>
  <c r="D21" i="23"/>
  <c r="C21" i="23"/>
  <c r="B21" i="23"/>
  <c r="D20" i="23"/>
  <c r="C20" i="23"/>
  <c r="B20" i="23"/>
  <c r="D19" i="23"/>
  <c r="C19" i="23"/>
  <c r="B19" i="23"/>
  <c r="D18" i="23"/>
  <c r="C18" i="23"/>
  <c r="B18" i="23"/>
  <c r="D17" i="23"/>
  <c r="C17" i="23"/>
  <c r="B17" i="23"/>
  <c r="D16" i="23"/>
  <c r="C16" i="23"/>
  <c r="B16" i="23"/>
  <c r="D15" i="23"/>
  <c r="C15" i="23"/>
  <c r="B15" i="23"/>
  <c r="D14" i="23"/>
  <c r="C14" i="23"/>
  <c r="B14" i="23"/>
  <c r="D13" i="23"/>
  <c r="C13" i="23"/>
  <c r="B13" i="23"/>
  <c r="D12" i="23"/>
  <c r="C12" i="23"/>
  <c r="B12" i="23"/>
  <c r="D11" i="23"/>
  <c r="C11" i="23"/>
  <c r="B11" i="23"/>
  <c r="D10" i="23"/>
  <c r="C10" i="23"/>
  <c r="B10" i="23"/>
  <c r="D9" i="23"/>
  <c r="C9" i="23"/>
  <c r="B9" i="23"/>
  <c r="D8" i="23"/>
  <c r="C8" i="23"/>
  <c r="B8" i="23"/>
  <c r="B7" i="23"/>
  <c r="D39" i="21"/>
  <c r="C39" i="21"/>
  <c r="B39" i="21"/>
  <c r="D38" i="21"/>
  <c r="C38" i="21"/>
  <c r="B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C24" i="21"/>
  <c r="B24" i="21"/>
  <c r="D23" i="21"/>
  <c r="C23" i="21"/>
  <c r="B23" i="21"/>
  <c r="D22" i="21"/>
  <c r="C22" i="21"/>
  <c r="B22" i="21"/>
  <c r="D21" i="21"/>
  <c r="C21" i="21"/>
  <c r="B21" i="21"/>
  <c r="D20" i="21"/>
  <c r="C20" i="21"/>
  <c r="B20" i="21"/>
  <c r="D19" i="21"/>
  <c r="C19" i="21"/>
  <c r="B19" i="21"/>
  <c r="D18" i="21"/>
  <c r="C18" i="21"/>
  <c r="B18" i="21"/>
  <c r="D17" i="21"/>
  <c r="C17" i="21"/>
  <c r="B17" i="21"/>
  <c r="D16" i="21"/>
  <c r="C16" i="21"/>
  <c r="B16" i="21"/>
  <c r="D15" i="21"/>
  <c r="C15" i="21"/>
  <c r="B15" i="21"/>
  <c r="D14" i="21"/>
  <c r="C14" i="21"/>
  <c r="B14" i="21"/>
  <c r="D13" i="21"/>
  <c r="C13" i="21"/>
  <c r="B13" i="21"/>
  <c r="D12" i="21"/>
  <c r="C12" i="21"/>
  <c r="B12" i="21"/>
  <c r="D11" i="21"/>
  <c r="C11" i="21"/>
  <c r="B11" i="21"/>
  <c r="D10" i="21"/>
  <c r="C10" i="21"/>
  <c r="B10" i="21"/>
  <c r="D9" i="21"/>
  <c r="C9" i="21"/>
  <c r="B9" i="21"/>
  <c r="D8" i="21"/>
  <c r="C8" i="21"/>
  <c r="B8" i="21"/>
  <c r="B7" i="21"/>
  <c r="D39" i="22"/>
  <c r="C39" i="22"/>
  <c r="B39" i="22"/>
  <c r="D38" i="22"/>
  <c r="C38" i="22"/>
  <c r="B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C24" i="22"/>
  <c r="B24" i="22"/>
  <c r="D23" i="22"/>
  <c r="C23" i="22"/>
  <c r="B23" i="22"/>
  <c r="D22" i="22"/>
  <c r="C22" i="22"/>
  <c r="B22" i="22"/>
  <c r="D21" i="22"/>
  <c r="C21" i="22"/>
  <c r="B21" i="22"/>
  <c r="D20" i="22"/>
  <c r="C20" i="22"/>
  <c r="B20" i="22"/>
  <c r="D19" i="22"/>
  <c r="C19" i="22"/>
  <c r="B19" i="22"/>
  <c r="D18" i="22"/>
  <c r="C18" i="22"/>
  <c r="B18" i="22"/>
  <c r="D17" i="22"/>
  <c r="C17" i="22"/>
  <c r="B17" i="22"/>
  <c r="D16" i="22"/>
  <c r="C16" i="22"/>
  <c r="B16" i="22"/>
  <c r="D15" i="22"/>
  <c r="C15" i="22"/>
  <c r="B15" i="22"/>
  <c r="D14" i="22"/>
  <c r="C14" i="22"/>
  <c r="B14" i="22"/>
  <c r="D13" i="22"/>
  <c r="C13" i="22"/>
  <c r="B13" i="22"/>
  <c r="D12" i="22"/>
  <c r="C12" i="22"/>
  <c r="B12" i="22"/>
  <c r="D11" i="22"/>
  <c r="C11" i="22"/>
  <c r="B11" i="22"/>
  <c r="D10" i="22"/>
  <c r="C10" i="22"/>
  <c r="B10" i="22"/>
  <c r="D9" i="22"/>
  <c r="C9" i="22"/>
  <c r="B9" i="22"/>
  <c r="D8" i="22"/>
  <c r="C8" i="22"/>
  <c r="B8" i="22"/>
  <c r="B7" i="22"/>
  <c r="D39" i="20"/>
  <c r="C39" i="20"/>
  <c r="B39" i="20"/>
  <c r="D38" i="20"/>
  <c r="C38" i="20"/>
  <c r="B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C24" i="20"/>
  <c r="B24" i="20"/>
  <c r="D23" i="20"/>
  <c r="C23" i="20"/>
  <c r="B23" i="20"/>
  <c r="D22" i="20"/>
  <c r="C22" i="20"/>
  <c r="B22" i="20"/>
  <c r="D21" i="20"/>
  <c r="C21" i="20"/>
  <c r="B21" i="20"/>
  <c r="D20" i="20"/>
  <c r="C20" i="20"/>
  <c r="B20" i="20"/>
  <c r="D19" i="20"/>
  <c r="C19" i="20"/>
  <c r="B19" i="20"/>
  <c r="D18" i="20"/>
  <c r="C18" i="20"/>
  <c r="B18" i="20"/>
  <c r="D17" i="20"/>
  <c r="C17" i="20"/>
  <c r="B17" i="20"/>
  <c r="D16" i="20"/>
  <c r="C16" i="20"/>
  <c r="B16" i="20"/>
  <c r="D15" i="20"/>
  <c r="C15" i="20"/>
  <c r="B15" i="20"/>
  <c r="D14" i="20"/>
  <c r="C14" i="20"/>
  <c r="B14" i="20"/>
  <c r="D13" i="20"/>
  <c r="C13" i="20"/>
  <c r="B13" i="20"/>
  <c r="D12" i="20"/>
  <c r="C12" i="20"/>
  <c r="B12" i="20"/>
  <c r="D11" i="20"/>
  <c r="C11" i="20"/>
  <c r="B11" i="20"/>
  <c r="D10" i="20"/>
  <c r="C10" i="20"/>
  <c r="B10" i="20"/>
  <c r="D9" i="20"/>
  <c r="C9" i="20"/>
  <c r="B9" i="20"/>
  <c r="D8" i="20"/>
  <c r="C8" i="20"/>
  <c r="B8" i="20"/>
  <c r="B7" i="20"/>
  <c r="D39" i="19"/>
  <c r="C39" i="19"/>
  <c r="B39" i="19"/>
  <c r="D38" i="19"/>
  <c r="C38" i="19"/>
  <c r="B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C24" i="19"/>
  <c r="B24" i="19"/>
  <c r="D23" i="19"/>
  <c r="C23" i="19"/>
  <c r="B23" i="19"/>
  <c r="D22" i="19"/>
  <c r="C22" i="19"/>
  <c r="B22" i="19"/>
  <c r="D21" i="19"/>
  <c r="C21" i="19"/>
  <c r="B21" i="19"/>
  <c r="D20" i="19"/>
  <c r="C20" i="19"/>
  <c r="B20" i="19"/>
  <c r="D19" i="19"/>
  <c r="C19" i="19"/>
  <c r="B19" i="19"/>
  <c r="D18" i="19"/>
  <c r="C18" i="19"/>
  <c r="B18" i="19"/>
  <c r="D17" i="19"/>
  <c r="C17" i="19"/>
  <c r="B17" i="19"/>
  <c r="D16" i="19"/>
  <c r="C16" i="19"/>
  <c r="B16" i="19"/>
  <c r="D15" i="19"/>
  <c r="C15" i="19"/>
  <c r="B15" i="19"/>
  <c r="D14" i="19"/>
  <c r="C14" i="19"/>
  <c r="B14" i="19"/>
  <c r="D13" i="19"/>
  <c r="C13" i="19"/>
  <c r="B13" i="19"/>
  <c r="D12" i="19"/>
  <c r="C12" i="19"/>
  <c r="B12" i="19"/>
  <c r="D11" i="19"/>
  <c r="C11" i="19"/>
  <c r="B11" i="19"/>
  <c r="D10" i="19"/>
  <c r="C10" i="19"/>
  <c r="B10" i="19"/>
  <c r="D9" i="19"/>
  <c r="C9" i="19"/>
  <c r="B9" i="19"/>
  <c r="D8" i="19"/>
  <c r="C8" i="19"/>
  <c r="B8" i="19"/>
  <c r="B7" i="19"/>
  <c r="D39" i="18"/>
  <c r="C39" i="18"/>
  <c r="B39" i="18"/>
  <c r="D38" i="18"/>
  <c r="C38" i="18"/>
  <c r="B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C24" i="18"/>
  <c r="B24" i="18"/>
  <c r="D23" i="18"/>
  <c r="C23" i="18"/>
  <c r="B23" i="18"/>
  <c r="D22" i="18"/>
  <c r="C22" i="18"/>
  <c r="B22" i="18"/>
  <c r="D21" i="18"/>
  <c r="C21" i="18"/>
  <c r="B21" i="18"/>
  <c r="D20" i="18"/>
  <c r="C20" i="18"/>
  <c r="B20" i="18"/>
  <c r="D19" i="18"/>
  <c r="C19" i="18"/>
  <c r="B19" i="18"/>
  <c r="D18" i="18"/>
  <c r="C18" i="18"/>
  <c r="B18" i="18"/>
  <c r="D17" i="18"/>
  <c r="C17" i="18"/>
  <c r="B17" i="18"/>
  <c r="D16" i="18"/>
  <c r="C16" i="18"/>
  <c r="B16" i="18"/>
  <c r="D15" i="18"/>
  <c r="C15" i="18"/>
  <c r="B15" i="18"/>
  <c r="D14" i="18"/>
  <c r="C14" i="18"/>
  <c r="B14" i="18"/>
  <c r="D13" i="18"/>
  <c r="C13" i="18"/>
  <c r="B13" i="18"/>
  <c r="D12" i="18"/>
  <c r="C12" i="18"/>
  <c r="B12" i="18"/>
  <c r="D11" i="18"/>
  <c r="C11" i="18"/>
  <c r="B11" i="18"/>
  <c r="D10" i="18"/>
  <c r="C10" i="18"/>
  <c r="B10" i="18"/>
  <c r="D9" i="18"/>
  <c r="C9" i="18"/>
  <c r="B9" i="18"/>
  <c r="D8" i="18"/>
  <c r="C8" i="18"/>
  <c r="B8" i="18"/>
  <c r="B7" i="18"/>
  <c r="D39" i="17"/>
  <c r="C39" i="17"/>
  <c r="B39" i="17"/>
  <c r="D38" i="17"/>
  <c r="C38" i="17"/>
  <c r="B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C24" i="17"/>
  <c r="B24" i="17"/>
  <c r="D23" i="17"/>
  <c r="C23" i="17"/>
  <c r="B23" i="17"/>
  <c r="D22" i="17"/>
  <c r="C22" i="17"/>
  <c r="B22" i="17"/>
  <c r="D21" i="17"/>
  <c r="C21" i="17"/>
  <c r="B21" i="17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D15" i="17"/>
  <c r="C15" i="17"/>
  <c r="B15" i="17"/>
  <c r="D14" i="17"/>
  <c r="C14" i="17"/>
  <c r="B14" i="17"/>
  <c r="D13" i="17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B7" i="17"/>
  <c r="D39" i="16"/>
  <c r="C39" i="16"/>
  <c r="B39" i="16"/>
  <c r="D38" i="16"/>
  <c r="C38" i="16"/>
  <c r="B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C24" i="16"/>
  <c r="B24" i="16"/>
  <c r="D23" i="16"/>
  <c r="C23" i="16"/>
  <c r="B23" i="16"/>
  <c r="D22" i="16"/>
  <c r="C22" i="16"/>
  <c r="B22" i="16"/>
  <c r="D21" i="16"/>
  <c r="C21" i="16"/>
  <c r="B21" i="16"/>
  <c r="D20" i="16"/>
  <c r="C20" i="16"/>
  <c r="B20" i="16"/>
  <c r="D19" i="16"/>
  <c r="C19" i="16"/>
  <c r="B19" i="16"/>
  <c r="D18" i="16"/>
  <c r="C18" i="16"/>
  <c r="B18" i="16"/>
  <c r="D17" i="16"/>
  <c r="C17" i="16"/>
  <c r="B17" i="16"/>
  <c r="D16" i="16"/>
  <c r="C16" i="16"/>
  <c r="B16" i="16"/>
  <c r="D15" i="16"/>
  <c r="C15" i="16"/>
  <c r="B15" i="16"/>
  <c r="D14" i="16"/>
  <c r="C14" i="16"/>
  <c r="B14" i="16"/>
  <c r="D13" i="16"/>
  <c r="C13" i="16"/>
  <c r="B13" i="16"/>
  <c r="D12" i="16"/>
  <c r="C12" i="16"/>
  <c r="B12" i="16"/>
  <c r="D11" i="16"/>
  <c r="C11" i="16"/>
  <c r="B11" i="16"/>
  <c r="D10" i="16"/>
  <c r="C10" i="16"/>
  <c r="B10" i="16"/>
  <c r="D9" i="16"/>
  <c r="C9" i="16"/>
  <c r="B9" i="16"/>
  <c r="D8" i="16"/>
  <c r="C8" i="16"/>
  <c r="B8" i="16"/>
  <c r="B7" i="16"/>
  <c r="D39" i="15"/>
  <c r="C39" i="15"/>
  <c r="B39" i="15"/>
  <c r="D38" i="15"/>
  <c r="C38" i="15"/>
  <c r="B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C24" i="15"/>
  <c r="B24" i="15"/>
  <c r="D23" i="15"/>
  <c r="C23" i="15"/>
  <c r="B23" i="15"/>
  <c r="D22" i="15"/>
  <c r="C22" i="15"/>
  <c r="B22" i="15"/>
  <c r="D21" i="15"/>
  <c r="C21" i="15"/>
  <c r="B21" i="15"/>
  <c r="D20" i="15"/>
  <c r="C20" i="15"/>
  <c r="B20" i="15"/>
  <c r="D19" i="15"/>
  <c r="C19" i="15"/>
  <c r="B19" i="15"/>
  <c r="D18" i="15"/>
  <c r="C18" i="15"/>
  <c r="B18" i="15"/>
  <c r="D17" i="15"/>
  <c r="C17" i="15"/>
  <c r="B17" i="15"/>
  <c r="D16" i="15"/>
  <c r="C16" i="15"/>
  <c r="B16" i="15"/>
  <c r="D15" i="15"/>
  <c r="C15" i="15"/>
  <c r="B15" i="15"/>
  <c r="D14" i="15"/>
  <c r="C14" i="15"/>
  <c r="B14" i="15"/>
  <c r="D13" i="15"/>
  <c r="C13" i="15"/>
  <c r="B13" i="15"/>
  <c r="D12" i="15"/>
  <c r="C12" i="15"/>
  <c r="B12" i="15"/>
  <c r="D11" i="15"/>
  <c r="C11" i="15"/>
  <c r="B11" i="15"/>
  <c r="D10" i="15"/>
  <c r="C10" i="15"/>
  <c r="B10" i="15"/>
  <c r="D9" i="15"/>
  <c r="C9" i="15"/>
  <c r="B9" i="15"/>
  <c r="D8" i="15"/>
  <c r="C8" i="15"/>
  <c r="B8" i="15"/>
  <c r="B7" i="15"/>
  <c r="D39" i="14"/>
  <c r="C39" i="14"/>
  <c r="B39" i="14"/>
  <c r="D38" i="14"/>
  <c r="C38" i="14"/>
  <c r="B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C24" i="14"/>
  <c r="B24" i="14"/>
  <c r="D23" i="14"/>
  <c r="C23" i="14"/>
  <c r="B23" i="14"/>
  <c r="D22" i="14"/>
  <c r="C22" i="14"/>
  <c r="B22" i="14"/>
  <c r="D21" i="14"/>
  <c r="C21" i="14"/>
  <c r="B21" i="14"/>
  <c r="D20" i="14"/>
  <c r="C20" i="14"/>
  <c r="B20" i="14"/>
  <c r="D19" i="14"/>
  <c r="C19" i="14"/>
  <c r="B19" i="14"/>
  <c r="D18" i="14"/>
  <c r="C18" i="14"/>
  <c r="B18" i="14"/>
  <c r="D17" i="14"/>
  <c r="C17" i="14"/>
  <c r="B17" i="14"/>
  <c r="D16" i="14"/>
  <c r="C16" i="14"/>
  <c r="B16" i="14"/>
  <c r="D15" i="14"/>
  <c r="C15" i="14"/>
  <c r="B15" i="14"/>
  <c r="D14" i="14"/>
  <c r="C14" i="14"/>
  <c r="B14" i="14"/>
  <c r="D13" i="14"/>
  <c r="C13" i="14"/>
  <c r="B13" i="14"/>
  <c r="D12" i="14"/>
  <c r="C12" i="14"/>
  <c r="B12" i="14"/>
  <c r="D11" i="14"/>
  <c r="C11" i="14"/>
  <c r="B11" i="14"/>
  <c r="D10" i="14"/>
  <c r="C10" i="14"/>
  <c r="B10" i="14"/>
  <c r="D9" i="14"/>
  <c r="C9" i="14"/>
  <c r="B9" i="14"/>
  <c r="D8" i="14"/>
  <c r="C8" i="14"/>
  <c r="B8" i="14"/>
  <c r="B7" i="14"/>
  <c r="D39" i="13"/>
  <c r="C39" i="13"/>
  <c r="B39" i="13"/>
  <c r="D38" i="13"/>
  <c r="C38" i="13"/>
  <c r="B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B7" i="13"/>
  <c r="D39" i="12"/>
  <c r="C39" i="12"/>
  <c r="B39" i="12"/>
  <c r="D38" i="12"/>
  <c r="C38" i="12"/>
  <c r="B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C24" i="12"/>
  <c r="B24" i="12"/>
  <c r="D23" i="12"/>
  <c r="C23" i="12"/>
  <c r="B23" i="12"/>
  <c r="D22" i="12"/>
  <c r="C22" i="12"/>
  <c r="B22" i="12"/>
  <c r="D21" i="12"/>
  <c r="C21" i="12"/>
  <c r="B21" i="12"/>
  <c r="D20" i="12"/>
  <c r="C20" i="12"/>
  <c r="B20" i="12"/>
  <c r="D19" i="12"/>
  <c r="C19" i="12"/>
  <c r="B19" i="12"/>
  <c r="D18" i="12"/>
  <c r="C18" i="12"/>
  <c r="B18" i="12"/>
  <c r="D17" i="12"/>
  <c r="C17" i="12"/>
  <c r="B17" i="12"/>
  <c r="D16" i="12"/>
  <c r="C16" i="12"/>
  <c r="B16" i="12"/>
  <c r="D15" i="12"/>
  <c r="C15" i="12"/>
  <c r="B15" i="12"/>
  <c r="D14" i="12"/>
  <c r="C14" i="12"/>
  <c r="B14" i="12"/>
  <c r="D13" i="12"/>
  <c r="C13" i="12"/>
  <c r="B13" i="12"/>
  <c r="D12" i="12"/>
  <c r="C12" i="12"/>
  <c r="B12" i="12"/>
  <c r="D11" i="12"/>
  <c r="C11" i="12"/>
  <c r="B11" i="12"/>
  <c r="D10" i="12"/>
  <c r="C10" i="12"/>
  <c r="B10" i="12"/>
  <c r="D9" i="12"/>
  <c r="C9" i="12"/>
  <c r="B9" i="12"/>
  <c r="D8" i="12"/>
  <c r="C8" i="12"/>
  <c r="B8" i="12"/>
  <c r="B7" i="12"/>
  <c r="D39" i="11"/>
  <c r="C39" i="11"/>
  <c r="B39" i="11"/>
  <c r="D38" i="11"/>
  <c r="C38" i="11"/>
  <c r="B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B7" i="11"/>
  <c r="D39" i="10"/>
  <c r="C39" i="10"/>
  <c r="B39" i="10"/>
  <c r="D38" i="10"/>
  <c r="C38" i="10"/>
  <c r="B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B7" i="10"/>
  <c r="D39" i="9"/>
  <c r="C39" i="9"/>
  <c r="B39" i="9"/>
  <c r="D38" i="9"/>
  <c r="C38" i="9"/>
  <c r="B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B7" i="9"/>
  <c r="D39" i="8"/>
  <c r="C39" i="8"/>
  <c r="B39" i="8"/>
  <c r="D38" i="8"/>
  <c r="C38" i="8"/>
  <c r="B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B7" i="8"/>
  <c r="D39" i="7"/>
  <c r="C39" i="7"/>
  <c r="B39" i="7"/>
  <c r="D38" i="7"/>
  <c r="C38" i="7"/>
  <c r="B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B7" i="7"/>
  <c r="D39" i="6"/>
  <c r="C39" i="6"/>
  <c r="B39" i="6"/>
  <c r="D38" i="6"/>
  <c r="C38" i="6"/>
  <c r="B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B7" i="6"/>
  <c r="D39" i="5"/>
  <c r="C39" i="5"/>
  <c r="B39" i="5"/>
  <c r="D38" i="5"/>
  <c r="C38" i="5"/>
  <c r="B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B7" i="5"/>
  <c r="D39" i="4"/>
  <c r="C39" i="4"/>
  <c r="B39" i="4"/>
  <c r="D38" i="4"/>
  <c r="C38" i="4"/>
  <c r="B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B7" i="4"/>
  <c r="D39" i="3"/>
  <c r="C39" i="3"/>
  <c r="B39" i="3"/>
  <c r="D38" i="3"/>
  <c r="C38" i="3"/>
  <c r="B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B7" i="3"/>
  <c r="C20" i="2"/>
  <c r="C21" i="2"/>
  <c r="C22" i="2"/>
  <c r="C23" i="2"/>
  <c r="C2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9" i="2"/>
  <c r="D10" i="2"/>
  <c r="D11" i="2"/>
  <c r="D12" i="2"/>
  <c r="D13" i="2"/>
  <c r="D14" i="2"/>
  <c r="D8" i="2"/>
  <c r="B39" i="2"/>
  <c r="B38" i="2"/>
  <c r="B21" i="2"/>
  <c r="B22" i="2"/>
  <c r="B23" i="2"/>
  <c r="B24" i="2"/>
  <c r="B20" i="2"/>
  <c r="B19" i="2"/>
  <c r="B18" i="2"/>
  <c r="B17" i="2"/>
  <c r="B16" i="2"/>
  <c r="B15" i="2"/>
  <c r="B9" i="2"/>
  <c r="B10" i="2"/>
  <c r="B11" i="2"/>
  <c r="B12" i="2"/>
  <c r="B13" i="2"/>
  <c r="B14" i="2"/>
  <c r="B8" i="2"/>
  <c r="B7" i="2"/>
  <c r="C39" i="2"/>
  <c r="C38" i="2"/>
  <c r="C18" i="2"/>
  <c r="C19" i="2"/>
  <c r="C15" i="2"/>
  <c r="C17" i="2"/>
  <c r="C9" i="2"/>
  <c r="C10" i="2"/>
  <c r="C11" i="2"/>
  <c r="C12" i="2"/>
  <c r="C13" i="2"/>
  <c r="C14" i="2"/>
  <c r="C16" i="2"/>
  <c r="C8" i="2"/>
  <c r="K17" i="32" l="1"/>
  <c r="K8" i="32"/>
  <c r="T8" i="32" s="1"/>
  <c r="W8" i="32" s="1"/>
  <c r="K9" i="32"/>
  <c r="T9" i="32"/>
  <c r="W20" i="32"/>
  <c r="V20" i="32"/>
  <c r="V9" i="32"/>
  <c r="W9" i="32"/>
  <c r="V8" i="32"/>
  <c r="Y19" i="32"/>
  <c r="Y16" i="32"/>
  <c r="R18" i="14"/>
  <c r="F17" i="1"/>
  <c r="F14" i="1"/>
  <c r="F13" i="1"/>
  <c r="F12" i="1"/>
  <c r="F11" i="1"/>
  <c r="F10" i="1"/>
  <c r="F9" i="1"/>
  <c r="F8" i="1"/>
  <c r="AB18" i="27"/>
  <c r="AB18" i="28" s="1"/>
  <c r="AB18" i="29" s="1"/>
  <c r="Y19" i="6"/>
  <c r="Z19" i="6" s="1"/>
  <c r="Y18" i="6"/>
  <c r="Y17" i="6"/>
  <c r="W17" i="6"/>
  <c r="Y16" i="6"/>
  <c r="W16" i="6"/>
  <c r="Y15" i="6"/>
  <c r="Z15" i="6" s="1"/>
  <c r="W15" i="6"/>
  <c r="Z14" i="6"/>
  <c r="Y14" i="6"/>
  <c r="W14" i="6"/>
  <c r="Y13" i="6"/>
  <c r="W13" i="6"/>
  <c r="Y12" i="6"/>
  <c r="W12" i="6"/>
  <c r="Y11" i="6"/>
  <c r="Z11" i="6" s="1"/>
  <c r="W11" i="6"/>
  <c r="Z10" i="6"/>
  <c r="Y10" i="6"/>
  <c r="W10" i="6"/>
  <c r="Y9" i="6"/>
  <c r="W9" i="6"/>
  <c r="Y8" i="6"/>
  <c r="W8" i="6"/>
  <c r="Y19" i="7"/>
  <c r="Z19" i="7" s="1"/>
  <c r="Y18" i="7"/>
  <c r="Z18" i="7" s="1"/>
  <c r="Y17" i="7"/>
  <c r="Z17" i="7" s="1"/>
  <c r="W17" i="7"/>
  <c r="Y16" i="7"/>
  <c r="Z16" i="7" s="1"/>
  <c r="W16" i="7"/>
  <c r="Y15" i="7"/>
  <c r="Z15" i="7" s="1"/>
  <c r="W15" i="7"/>
  <c r="Y14" i="7"/>
  <c r="W14" i="7"/>
  <c r="Y13" i="7"/>
  <c r="Z13" i="7" s="1"/>
  <c r="W13" i="7"/>
  <c r="Y12" i="7"/>
  <c r="W12" i="7"/>
  <c r="Y11" i="7"/>
  <c r="W11" i="7"/>
  <c r="Z10" i="7"/>
  <c r="Y10" i="7"/>
  <c r="W10" i="7"/>
  <c r="Y9" i="7"/>
  <c r="W9" i="7"/>
  <c r="Y8" i="7"/>
  <c r="W8" i="7"/>
  <c r="Y19" i="8"/>
  <c r="Y18" i="8"/>
  <c r="Y17" i="8"/>
  <c r="Z17" i="8" s="1"/>
  <c r="W17" i="8"/>
  <c r="Y16" i="8"/>
  <c r="Z16" i="8" s="1"/>
  <c r="W16" i="8"/>
  <c r="Y15" i="8"/>
  <c r="Z15" i="8" s="1"/>
  <c r="W15" i="8"/>
  <c r="Y14" i="8"/>
  <c r="W14" i="8"/>
  <c r="Z13" i="8"/>
  <c r="Y13" i="8"/>
  <c r="W13" i="8"/>
  <c r="Y12" i="8"/>
  <c r="W12" i="8"/>
  <c r="Y11" i="8"/>
  <c r="Z11" i="8" s="1"/>
  <c r="W11" i="8"/>
  <c r="Y10" i="8"/>
  <c r="W10" i="8"/>
  <c r="Y9" i="8"/>
  <c r="W9" i="8"/>
  <c r="Y8" i="8"/>
  <c r="Z8" i="8" s="1"/>
  <c r="W8" i="8"/>
  <c r="Y19" i="9"/>
  <c r="Z19" i="9" s="1"/>
  <c r="Y18" i="9"/>
  <c r="Y17" i="9"/>
  <c r="Z17" i="9" s="1"/>
  <c r="W17" i="9"/>
  <c r="Y16" i="9"/>
  <c r="Z16" i="9" s="1"/>
  <c r="W16" i="9"/>
  <c r="Y15" i="9"/>
  <c r="Z15" i="9" s="1"/>
  <c r="W15" i="9"/>
  <c r="Y14" i="9"/>
  <c r="Z14" i="9" s="1"/>
  <c r="W14" i="9"/>
  <c r="Y13" i="9"/>
  <c r="W13" i="9"/>
  <c r="Z12" i="9"/>
  <c r="Y12" i="9"/>
  <c r="W12" i="9"/>
  <c r="Z11" i="9"/>
  <c r="Y11" i="9"/>
  <c r="W11" i="9"/>
  <c r="Z10" i="9"/>
  <c r="Y10" i="9"/>
  <c r="W10" i="9"/>
  <c r="Z9" i="9"/>
  <c r="Y9" i="9"/>
  <c r="W9" i="9"/>
  <c r="Y8" i="9"/>
  <c r="W8" i="9"/>
  <c r="Y19" i="10"/>
  <c r="Y18" i="10"/>
  <c r="Y17" i="10"/>
  <c r="W17" i="10"/>
  <c r="Y16" i="10"/>
  <c r="W16" i="10"/>
  <c r="Y15" i="10"/>
  <c r="Z15" i="10" s="1"/>
  <c r="W15" i="10"/>
  <c r="Z14" i="10"/>
  <c r="Y14" i="10"/>
  <c r="W14" i="10"/>
  <c r="Y13" i="10"/>
  <c r="Z13" i="10" s="1"/>
  <c r="W13" i="10"/>
  <c r="Y12" i="10"/>
  <c r="W12" i="10"/>
  <c r="Y11" i="10"/>
  <c r="Z11" i="10" s="1"/>
  <c r="W11" i="10"/>
  <c r="Z10" i="10"/>
  <c r="Y10" i="10"/>
  <c r="W10" i="10"/>
  <c r="Y9" i="10"/>
  <c r="Z9" i="10" s="1"/>
  <c r="W9" i="10"/>
  <c r="Z8" i="10"/>
  <c r="Y8" i="10"/>
  <c r="W8" i="10"/>
  <c r="Y19" i="11"/>
  <c r="Z19" i="11" s="1"/>
  <c r="Y18" i="11"/>
  <c r="Y17" i="11"/>
  <c r="Z17" i="11" s="1"/>
  <c r="W17" i="11"/>
  <c r="Y16" i="11"/>
  <c r="Z16" i="11" s="1"/>
  <c r="W16" i="11"/>
  <c r="Y15" i="11"/>
  <c r="Z15" i="11" s="1"/>
  <c r="W15" i="11"/>
  <c r="Y14" i="11"/>
  <c r="W14" i="11"/>
  <c r="Y13" i="11"/>
  <c r="W13" i="11"/>
  <c r="Y12" i="11"/>
  <c r="Z12" i="11" s="1"/>
  <c r="W12" i="11"/>
  <c r="Y11" i="11"/>
  <c r="W11" i="11"/>
  <c r="Y10" i="11"/>
  <c r="W10" i="11"/>
  <c r="Y9" i="11"/>
  <c r="Z9" i="11" s="1"/>
  <c r="W9" i="11"/>
  <c r="Y8" i="11"/>
  <c r="W8" i="11"/>
  <c r="Y19" i="12"/>
  <c r="Y18" i="12"/>
  <c r="Y17" i="12"/>
  <c r="Z17" i="12" s="1"/>
  <c r="W17" i="12"/>
  <c r="Y16" i="12"/>
  <c r="Z16" i="12" s="1"/>
  <c r="W16" i="12"/>
  <c r="Y15" i="12"/>
  <c r="Z15" i="12" s="1"/>
  <c r="W15" i="12"/>
  <c r="Z14" i="12"/>
  <c r="Y14" i="12"/>
  <c r="W14" i="12"/>
  <c r="Y13" i="12"/>
  <c r="Z13" i="12" s="1"/>
  <c r="W13" i="12"/>
  <c r="Y12" i="12"/>
  <c r="W12" i="12"/>
  <c r="Z11" i="12"/>
  <c r="Y11" i="12"/>
  <c r="W11" i="12"/>
  <c r="Y10" i="12"/>
  <c r="W10" i="12"/>
  <c r="Y9" i="12"/>
  <c r="Z9" i="12" s="1"/>
  <c r="W9" i="12"/>
  <c r="Y8" i="12"/>
  <c r="W8" i="12"/>
  <c r="Z19" i="13"/>
  <c r="Z18" i="13"/>
  <c r="W17" i="13"/>
  <c r="W16" i="13"/>
  <c r="Y15" i="13"/>
  <c r="W15" i="13"/>
  <c r="Z14" i="13"/>
  <c r="Y14" i="13"/>
  <c r="W14" i="13"/>
  <c r="Z13" i="13"/>
  <c r="Y13" i="13"/>
  <c r="W13" i="13"/>
  <c r="Y12" i="13"/>
  <c r="W12" i="13"/>
  <c r="Y11" i="13"/>
  <c r="Z11" i="13" s="1"/>
  <c r="W11" i="13"/>
  <c r="Z10" i="13"/>
  <c r="Y10" i="13"/>
  <c r="W10" i="13"/>
  <c r="Y9" i="13"/>
  <c r="Z9" i="13" s="1"/>
  <c r="W9" i="13"/>
  <c r="Y8" i="13"/>
  <c r="Z8" i="13" s="1"/>
  <c r="W8" i="13"/>
  <c r="Y19" i="14"/>
  <c r="Z19" i="14" s="1"/>
  <c r="Z18" i="14"/>
  <c r="Y18" i="14"/>
  <c r="Y17" i="14"/>
  <c r="Z17" i="14" s="1"/>
  <c r="W17" i="14"/>
  <c r="Y16" i="14"/>
  <c r="W16" i="14"/>
  <c r="Y15" i="14"/>
  <c r="Z15" i="14" s="1"/>
  <c r="W15" i="14"/>
  <c r="Y14" i="14"/>
  <c r="Z14" i="14" s="1"/>
  <c r="W14" i="14"/>
  <c r="Y13" i="14"/>
  <c r="Z13" i="14" s="1"/>
  <c r="W13" i="14"/>
  <c r="Z12" i="14"/>
  <c r="Y12" i="14"/>
  <c r="W12" i="14"/>
  <c r="Y11" i="14"/>
  <c r="W11" i="14"/>
  <c r="Z10" i="14"/>
  <c r="Y10" i="14"/>
  <c r="W10" i="14"/>
  <c r="Y9" i="14"/>
  <c r="Z9" i="14" s="1"/>
  <c r="W9" i="14"/>
  <c r="Y8" i="14"/>
  <c r="W8" i="14"/>
  <c r="Y19" i="15"/>
  <c r="Z19" i="15" s="1"/>
  <c r="Y18" i="15"/>
  <c r="Z18" i="15" s="1"/>
  <c r="Y17" i="15"/>
  <c r="W17" i="15"/>
  <c r="Y16" i="15"/>
  <c r="W16" i="15"/>
  <c r="Y15" i="15"/>
  <c r="Z15" i="15" s="1"/>
  <c r="W15" i="15"/>
  <c r="Y14" i="15"/>
  <c r="W14" i="15"/>
  <c r="Y13" i="15"/>
  <c r="W13" i="15"/>
  <c r="Z12" i="15"/>
  <c r="Y12" i="15"/>
  <c r="W12" i="15"/>
  <c r="Z11" i="15"/>
  <c r="Y11" i="15"/>
  <c r="W11" i="15"/>
  <c r="Z10" i="15"/>
  <c r="Y10" i="15"/>
  <c r="W10" i="15"/>
  <c r="Z9" i="15"/>
  <c r="Y9" i="15"/>
  <c r="W9" i="15"/>
  <c r="Y8" i="15"/>
  <c r="W8" i="15"/>
  <c r="Y19" i="16"/>
  <c r="Y18" i="16"/>
  <c r="Y17" i="16"/>
  <c r="W17" i="16"/>
  <c r="Y16" i="16"/>
  <c r="W16" i="16"/>
  <c r="Y15" i="16"/>
  <c r="Z15" i="16" s="1"/>
  <c r="W15" i="16"/>
  <c r="Y14" i="16"/>
  <c r="W14" i="16"/>
  <c r="Y13" i="16"/>
  <c r="W13" i="16"/>
  <c r="Y12" i="16"/>
  <c r="W12" i="16"/>
  <c r="Y11" i="16"/>
  <c r="Z11" i="16" s="1"/>
  <c r="W11" i="16"/>
  <c r="Y10" i="16"/>
  <c r="W10" i="16"/>
  <c r="Y9" i="16"/>
  <c r="Z9" i="16" s="1"/>
  <c r="W9" i="16"/>
  <c r="Y8" i="16"/>
  <c r="W8" i="16"/>
  <c r="Y19" i="17"/>
  <c r="Y18" i="17"/>
  <c r="Z18" i="17" s="1"/>
  <c r="Y17" i="17"/>
  <c r="W17" i="17"/>
  <c r="Y16" i="17"/>
  <c r="W16" i="17"/>
  <c r="Y15" i="17"/>
  <c r="W15" i="17"/>
  <c r="Y14" i="17"/>
  <c r="W14" i="17"/>
  <c r="Z13" i="17"/>
  <c r="Y13" i="17"/>
  <c r="W13" i="17"/>
  <c r="Y12" i="17"/>
  <c r="Z12" i="17" s="1"/>
  <c r="W12" i="17"/>
  <c r="Y11" i="17"/>
  <c r="Z11" i="17" s="1"/>
  <c r="W11" i="17"/>
  <c r="Y10" i="17"/>
  <c r="W10" i="17"/>
  <c r="Y9" i="17"/>
  <c r="W9" i="17"/>
  <c r="Y8" i="17"/>
  <c r="W8" i="17"/>
  <c r="Z19" i="18"/>
  <c r="Y19" i="18"/>
  <c r="Z18" i="18"/>
  <c r="Y18" i="18"/>
  <c r="Y17" i="18"/>
  <c r="W17" i="18"/>
  <c r="Y16" i="18"/>
  <c r="W16" i="18"/>
  <c r="Y15" i="18"/>
  <c r="Z15" i="18" s="1"/>
  <c r="W15" i="18"/>
  <c r="Y14" i="18"/>
  <c r="Z14" i="18" s="1"/>
  <c r="W14" i="18"/>
  <c r="Y13" i="18"/>
  <c r="W13" i="18"/>
  <c r="Y12" i="18"/>
  <c r="Z12" i="18" s="1"/>
  <c r="W12" i="18"/>
  <c r="Z11" i="18"/>
  <c r="Y11" i="18"/>
  <c r="W11" i="18"/>
  <c r="Z10" i="18"/>
  <c r="Y10" i="18"/>
  <c r="W10" i="18"/>
  <c r="Z9" i="18"/>
  <c r="Y9" i="18"/>
  <c r="W9" i="18"/>
  <c r="Y8" i="18"/>
  <c r="Z8" i="18" s="1"/>
  <c r="W8" i="18"/>
  <c r="Y19" i="19"/>
  <c r="Y18" i="19"/>
  <c r="Y17" i="19"/>
  <c r="Z17" i="19" s="1"/>
  <c r="W17" i="19"/>
  <c r="Y16" i="19"/>
  <c r="W16" i="19"/>
  <c r="Y15" i="19"/>
  <c r="Z15" i="19" s="1"/>
  <c r="W15" i="19"/>
  <c r="Y14" i="19"/>
  <c r="W14" i="19"/>
  <c r="Y13" i="19"/>
  <c r="W13" i="19"/>
  <c r="Y12" i="19"/>
  <c r="Z12" i="19" s="1"/>
  <c r="W12" i="19"/>
  <c r="Z11" i="19"/>
  <c r="Y11" i="19"/>
  <c r="W11" i="19"/>
  <c r="Y10" i="19"/>
  <c r="Z10" i="19" s="1"/>
  <c r="W10" i="19"/>
  <c r="Z9" i="19"/>
  <c r="Y9" i="19"/>
  <c r="W9" i="19"/>
  <c r="Y8" i="19"/>
  <c r="W8" i="19"/>
  <c r="Y19" i="20"/>
  <c r="Y18" i="20"/>
  <c r="Z18" i="20" s="1"/>
  <c r="Y17" i="20"/>
  <c r="Z17" i="20" s="1"/>
  <c r="W17" i="20"/>
  <c r="Y16" i="20"/>
  <c r="W16" i="20"/>
  <c r="Y15" i="20"/>
  <c r="Z15" i="20" s="1"/>
  <c r="W15" i="20"/>
  <c r="Y14" i="20"/>
  <c r="Z14" i="20" s="1"/>
  <c r="W14" i="20"/>
  <c r="Z13" i="20"/>
  <c r="Y13" i="20"/>
  <c r="W13" i="20"/>
  <c r="Z12" i="20"/>
  <c r="Y12" i="20"/>
  <c r="W12" i="20"/>
  <c r="Y11" i="20"/>
  <c r="W11" i="20"/>
  <c r="Y10" i="20"/>
  <c r="Z10" i="20" s="1"/>
  <c r="W10" i="20"/>
  <c r="Y9" i="20"/>
  <c r="W9" i="20"/>
  <c r="Y8" i="20"/>
  <c r="Z8" i="20" s="1"/>
  <c r="W8" i="20"/>
  <c r="Y19" i="21"/>
  <c r="Y18" i="21"/>
  <c r="Y17" i="21"/>
  <c r="W17" i="21"/>
  <c r="Y16" i="21"/>
  <c r="W16" i="21"/>
  <c r="Y15" i="21"/>
  <c r="Z15" i="21" s="1"/>
  <c r="W15" i="21"/>
  <c r="Y14" i="21"/>
  <c r="W14" i="21"/>
  <c r="Y13" i="21"/>
  <c r="W13" i="21"/>
  <c r="Y12" i="21"/>
  <c r="Z12" i="21" s="1"/>
  <c r="W12" i="21"/>
  <c r="Y11" i="21"/>
  <c r="W11" i="21"/>
  <c r="Y10" i="21"/>
  <c r="Z10" i="21" s="1"/>
  <c r="W10" i="21"/>
  <c r="Y9" i="21"/>
  <c r="W9" i="21"/>
  <c r="Y8" i="21"/>
  <c r="W8" i="21"/>
  <c r="Z19" i="22"/>
  <c r="Y19" i="22"/>
  <c r="Y18" i="22"/>
  <c r="Y17" i="22"/>
  <c r="Z17" i="22" s="1"/>
  <c r="W17" i="22"/>
  <c r="Y16" i="22"/>
  <c r="Z16" i="22" s="1"/>
  <c r="W16" i="22"/>
  <c r="Y15" i="22"/>
  <c r="W15" i="22"/>
  <c r="Y14" i="22"/>
  <c r="Z14" i="22" s="1"/>
  <c r="W14" i="22"/>
  <c r="Y13" i="22"/>
  <c r="W13" i="22"/>
  <c r="Y12" i="22"/>
  <c r="Z12" i="22" s="1"/>
  <c r="W12" i="22"/>
  <c r="Y11" i="22"/>
  <c r="W11" i="22"/>
  <c r="Y10" i="22"/>
  <c r="Z10" i="22" s="1"/>
  <c r="W10" i="22"/>
  <c r="Y9" i="22"/>
  <c r="W9" i="22"/>
  <c r="Y8" i="22"/>
  <c r="Z8" i="22" s="1"/>
  <c r="W8" i="22"/>
  <c r="Y19" i="23"/>
  <c r="Y18" i="23"/>
  <c r="Z18" i="23" s="1"/>
  <c r="Y17" i="23"/>
  <c r="Z17" i="23" s="1"/>
  <c r="W17" i="23"/>
  <c r="Y16" i="23"/>
  <c r="Z16" i="23" s="1"/>
  <c r="W16" i="23"/>
  <c r="Y15" i="23"/>
  <c r="Z15" i="23" s="1"/>
  <c r="W15" i="23"/>
  <c r="Y14" i="23"/>
  <c r="Z14" i="23" s="1"/>
  <c r="W14" i="23"/>
  <c r="Z13" i="23"/>
  <c r="Y13" i="23"/>
  <c r="W13" i="23"/>
  <c r="Y12" i="23"/>
  <c r="W12" i="23"/>
  <c r="Y11" i="23"/>
  <c r="W11" i="23"/>
  <c r="Y10" i="23"/>
  <c r="Z10" i="23" s="1"/>
  <c r="W10" i="23"/>
  <c r="Y9" i="23"/>
  <c r="W9" i="23"/>
  <c r="Y8" i="23"/>
  <c r="Z8" i="23" s="1"/>
  <c r="W8" i="23"/>
  <c r="Y19" i="24"/>
  <c r="Y18" i="24"/>
  <c r="Y17" i="24"/>
  <c r="Z17" i="24" s="1"/>
  <c r="W17" i="24"/>
  <c r="Y16" i="24"/>
  <c r="W16" i="24"/>
  <c r="Y15" i="24"/>
  <c r="W15" i="24"/>
  <c r="Y14" i="24"/>
  <c r="Z14" i="24" s="1"/>
  <c r="W14" i="24"/>
  <c r="Y13" i="24"/>
  <c r="W13" i="24"/>
  <c r="Y12" i="24"/>
  <c r="W12" i="24"/>
  <c r="Y11" i="24"/>
  <c r="Z11" i="24" s="1"/>
  <c r="W11" i="24"/>
  <c r="Y10" i="24"/>
  <c r="Z10" i="24" s="1"/>
  <c r="W10" i="24"/>
  <c r="Y9" i="24"/>
  <c r="W9" i="24"/>
  <c r="Y8" i="24"/>
  <c r="W8" i="24"/>
  <c r="Y19" i="25"/>
  <c r="Y18" i="25"/>
  <c r="Y17" i="25"/>
  <c r="Z17" i="25" s="1"/>
  <c r="W17" i="25"/>
  <c r="Y16" i="25"/>
  <c r="W16" i="25"/>
  <c r="Y15" i="25"/>
  <c r="Z15" i="25" s="1"/>
  <c r="W15" i="25"/>
  <c r="Y14" i="25"/>
  <c r="W14" i="25"/>
  <c r="Y13" i="25"/>
  <c r="W13" i="25"/>
  <c r="Y12" i="25"/>
  <c r="W12" i="25"/>
  <c r="Y11" i="25"/>
  <c r="W11" i="25"/>
  <c r="Y10" i="25"/>
  <c r="Z10" i="25" s="1"/>
  <c r="W10" i="25"/>
  <c r="Y9" i="25"/>
  <c r="Z9" i="25" s="1"/>
  <c r="W9" i="25"/>
  <c r="Y8" i="25"/>
  <c r="Z8" i="25" s="1"/>
  <c r="W8" i="25"/>
  <c r="Y19" i="26"/>
  <c r="Z18" i="26"/>
  <c r="Y18" i="26"/>
  <c r="Y17" i="26"/>
  <c r="W17" i="26"/>
  <c r="Y16" i="26"/>
  <c r="W16" i="26"/>
  <c r="Y15" i="26"/>
  <c r="W15" i="26"/>
  <c r="Y14" i="26"/>
  <c r="W14" i="26"/>
  <c r="Y13" i="26"/>
  <c r="Z13" i="26" s="1"/>
  <c r="W13" i="26"/>
  <c r="Y12" i="26"/>
  <c r="W12" i="26"/>
  <c r="Y11" i="26"/>
  <c r="W11" i="26"/>
  <c r="Y10" i="26"/>
  <c r="Z10" i="26" s="1"/>
  <c r="W10" i="26"/>
  <c r="Z9" i="26"/>
  <c r="Y9" i="26"/>
  <c r="W9" i="26"/>
  <c r="Y8" i="26"/>
  <c r="Z8" i="26" s="1"/>
  <c r="W8" i="26"/>
  <c r="Z19" i="27"/>
  <c r="Y19" i="27"/>
  <c r="W17" i="27"/>
  <c r="Y16" i="27"/>
  <c r="Z16" i="27" s="1"/>
  <c r="W16" i="27"/>
  <c r="Y15" i="27"/>
  <c r="Z15" i="27" s="1"/>
  <c r="Z20" i="27" s="1"/>
  <c r="W15" i="27"/>
  <c r="Y14" i="27"/>
  <c r="W14" i="27"/>
  <c r="Y13" i="27"/>
  <c r="W13" i="27"/>
  <c r="Y12" i="27"/>
  <c r="Z12" i="27" s="1"/>
  <c r="W12" i="27"/>
  <c r="Y11" i="27"/>
  <c r="Z11" i="27" s="1"/>
  <c r="W11" i="27"/>
  <c r="Z10" i="27"/>
  <c r="Y10" i="27"/>
  <c r="W10" i="27"/>
  <c r="Y9" i="27"/>
  <c r="W9" i="27"/>
  <c r="Z8" i="27"/>
  <c r="Y8" i="27"/>
  <c r="W8" i="27"/>
  <c r="Y19" i="28"/>
  <c r="Z18" i="28"/>
  <c r="Y18" i="28"/>
  <c r="Y17" i="28"/>
  <c r="W17" i="28"/>
  <c r="Y16" i="28"/>
  <c r="W16" i="28"/>
  <c r="Y15" i="28"/>
  <c r="Z15" i="28" s="1"/>
  <c r="W15" i="28"/>
  <c r="Y14" i="28"/>
  <c r="W14" i="28"/>
  <c r="Y13" i="28"/>
  <c r="Z13" i="28" s="1"/>
  <c r="W13" i="28"/>
  <c r="Z12" i="28"/>
  <c r="Y12" i="28"/>
  <c r="W12" i="28"/>
  <c r="Z11" i="28"/>
  <c r="Y11" i="28"/>
  <c r="W11" i="28"/>
  <c r="Y10" i="28"/>
  <c r="Z10" i="28" s="1"/>
  <c r="W10" i="28"/>
  <c r="Z9" i="28"/>
  <c r="Y9" i="28"/>
  <c r="W9" i="28"/>
  <c r="Z8" i="28"/>
  <c r="Y8" i="28"/>
  <c r="W8" i="28"/>
  <c r="Y19" i="29"/>
  <c r="Z18" i="29"/>
  <c r="Y18" i="29"/>
  <c r="Y17" i="29"/>
  <c r="Z17" i="29" s="1"/>
  <c r="W17" i="29"/>
  <c r="Y16" i="29"/>
  <c r="Z16" i="29" s="1"/>
  <c r="W16" i="29"/>
  <c r="Y15" i="29"/>
  <c r="Z15" i="29" s="1"/>
  <c r="W15" i="29"/>
  <c r="Y14" i="29"/>
  <c r="Z14" i="29" s="1"/>
  <c r="W14" i="29"/>
  <c r="Y13" i="29"/>
  <c r="Z13" i="29" s="1"/>
  <c r="W13" i="29"/>
  <c r="Z12" i="29"/>
  <c r="Y12" i="29"/>
  <c r="W12" i="29"/>
  <c r="Y11" i="29"/>
  <c r="W11" i="29"/>
  <c r="Z10" i="29"/>
  <c r="Y10" i="29"/>
  <c r="W10" i="29"/>
  <c r="Y9" i="29"/>
  <c r="W9" i="29"/>
  <c r="Y8" i="29"/>
  <c r="Z8" i="29" s="1"/>
  <c r="W8" i="29"/>
  <c r="Y19" i="30"/>
  <c r="Z19" i="30" s="1"/>
  <c r="Y18" i="30"/>
  <c r="Y17" i="30"/>
  <c r="W17" i="30"/>
  <c r="Y16" i="30"/>
  <c r="W16" i="30"/>
  <c r="Y15" i="30"/>
  <c r="Z15" i="30" s="1"/>
  <c r="W15" i="30"/>
  <c r="Z14" i="30"/>
  <c r="Y14" i="30"/>
  <c r="W14" i="30"/>
  <c r="Y13" i="30"/>
  <c r="W13" i="30"/>
  <c r="Y12" i="30"/>
  <c r="Z12" i="30" s="1"/>
  <c r="W12" i="30"/>
  <c r="Z11" i="30"/>
  <c r="Y11" i="30"/>
  <c r="W11" i="30"/>
  <c r="Z10" i="30"/>
  <c r="Y10" i="30"/>
  <c r="W10" i="30"/>
  <c r="Y9" i="30"/>
  <c r="W9" i="30"/>
  <c r="Z8" i="30"/>
  <c r="Y8" i="30"/>
  <c r="W8" i="30"/>
  <c r="Y19" i="31"/>
  <c r="Y18" i="31"/>
  <c r="Z18" i="31" s="1"/>
  <c r="Y17" i="31"/>
  <c r="W17" i="31"/>
  <c r="Y16" i="31"/>
  <c r="W16" i="31"/>
  <c r="Y15" i="31"/>
  <c r="Z15" i="31" s="1"/>
  <c r="W15" i="31"/>
  <c r="Z14" i="31"/>
  <c r="Y14" i="31"/>
  <c r="W14" i="31"/>
  <c r="Y13" i="31"/>
  <c r="Z13" i="31" s="1"/>
  <c r="W13" i="31"/>
  <c r="Y12" i="31"/>
  <c r="W12" i="31"/>
  <c r="Y11" i="31"/>
  <c r="W11" i="31"/>
  <c r="Y10" i="31"/>
  <c r="Z10" i="31" s="1"/>
  <c r="W10" i="31"/>
  <c r="Z9" i="31"/>
  <c r="Y9" i="31"/>
  <c r="Y20" i="31" s="1"/>
  <c r="W9" i="31"/>
  <c r="Z8" i="31"/>
  <c r="Y8" i="31"/>
  <c r="W8" i="31"/>
  <c r="Y19" i="5"/>
  <c r="Z19" i="5" s="1"/>
  <c r="Y18" i="5"/>
  <c r="Y17" i="5"/>
  <c r="W17" i="5"/>
  <c r="Y16" i="5"/>
  <c r="Z16" i="5" s="1"/>
  <c r="W16" i="5"/>
  <c r="Y15" i="5"/>
  <c r="Z15" i="5" s="1"/>
  <c r="W15" i="5"/>
  <c r="Z14" i="5"/>
  <c r="Y14" i="5"/>
  <c r="W14" i="5"/>
  <c r="Z13" i="5"/>
  <c r="Y13" i="5"/>
  <c r="W13" i="5"/>
  <c r="Y12" i="5"/>
  <c r="Z12" i="5" s="1"/>
  <c r="W12" i="5"/>
  <c r="Y11" i="5"/>
  <c r="W11" i="5"/>
  <c r="Y10" i="5"/>
  <c r="W10" i="5"/>
  <c r="Y9" i="5"/>
  <c r="W9" i="5"/>
  <c r="Z8" i="5"/>
  <c r="Y8" i="5"/>
  <c r="W8" i="5"/>
  <c r="Y8" i="4"/>
  <c r="Z19" i="4"/>
  <c r="Y19" i="4"/>
  <c r="Y18" i="4"/>
  <c r="Y17" i="4"/>
  <c r="W17" i="4"/>
  <c r="Y16" i="4"/>
  <c r="Z16" i="4" s="1"/>
  <c r="W16" i="4"/>
  <c r="Y15" i="4"/>
  <c r="Z15" i="4" s="1"/>
  <c r="W15" i="4"/>
  <c r="Y14" i="4"/>
  <c r="W14" i="4"/>
  <c r="Y13" i="4"/>
  <c r="W13" i="4"/>
  <c r="Y12" i="4"/>
  <c r="AA12" i="4" s="1"/>
  <c r="W12" i="4"/>
  <c r="Y11" i="4"/>
  <c r="W11" i="4"/>
  <c r="Y10" i="4"/>
  <c r="AA10" i="4" s="1"/>
  <c r="W10" i="4"/>
  <c r="Z9" i="4"/>
  <c r="Y9" i="4"/>
  <c r="W9" i="4"/>
  <c r="Z8" i="4"/>
  <c r="Y20" i="4"/>
  <c r="W8" i="4"/>
  <c r="Z8" i="3"/>
  <c r="AA19" i="3"/>
  <c r="AA19" i="5" s="1"/>
  <c r="AA19" i="6" s="1"/>
  <c r="AA19" i="7" s="1"/>
  <c r="AA19" i="8" s="1"/>
  <c r="AA19" i="9" s="1"/>
  <c r="AA19" i="10" s="1"/>
  <c r="AA19" i="11" s="1"/>
  <c r="AA19" i="12" s="1"/>
  <c r="AA19" i="13" s="1"/>
  <c r="AA19" i="14" s="1"/>
  <c r="AA19" i="15" s="1"/>
  <c r="AA19" i="16" s="1"/>
  <c r="AA19" i="17" s="1"/>
  <c r="AA19" i="18" s="1"/>
  <c r="AA19" i="19" s="1"/>
  <c r="AA19" i="20" s="1"/>
  <c r="AA19" i="21" s="1"/>
  <c r="AA19" i="22" s="1"/>
  <c r="Z19" i="3"/>
  <c r="Z18" i="3"/>
  <c r="Z17" i="3"/>
  <c r="X17" i="3"/>
  <c r="Z16" i="3"/>
  <c r="AA16" i="3" s="1"/>
  <c r="X16" i="3"/>
  <c r="Z15" i="3"/>
  <c r="AA15" i="3" s="1"/>
  <c r="X15" i="3"/>
  <c r="AA14" i="3"/>
  <c r="Z14" i="3"/>
  <c r="X14" i="3"/>
  <c r="Z13" i="3"/>
  <c r="X13" i="3"/>
  <c r="Z12" i="3"/>
  <c r="AA12" i="3" s="1"/>
  <c r="AA12" i="5" s="1"/>
  <c r="AA12" i="6" s="1"/>
  <c r="AA12" i="7" s="1"/>
  <c r="AA12" i="8" s="1"/>
  <c r="AA12" i="9" s="1"/>
  <c r="AA12" i="10" s="1"/>
  <c r="AA12" i="11" s="1"/>
  <c r="AA12" i="12" s="1"/>
  <c r="AA12" i="13" s="1"/>
  <c r="AA12" i="14" s="1"/>
  <c r="AA12" i="15" s="1"/>
  <c r="AA12" i="16" s="1"/>
  <c r="AA12" i="17" s="1"/>
  <c r="AA12" i="18" s="1"/>
  <c r="AA12" i="19" s="1"/>
  <c r="AA12" i="20" s="1"/>
  <c r="X12" i="3"/>
  <c r="Z11" i="3"/>
  <c r="AA11" i="3" s="1"/>
  <c r="X11" i="3"/>
  <c r="Z10" i="3"/>
  <c r="X10" i="3"/>
  <c r="Z9" i="3"/>
  <c r="X9" i="3"/>
  <c r="AA8" i="3"/>
  <c r="X8" i="3"/>
  <c r="W19" i="1"/>
  <c r="W18" i="1"/>
  <c r="W17" i="1"/>
  <c r="W16" i="1"/>
  <c r="Y12" i="2"/>
  <c r="Z12" i="2" s="1"/>
  <c r="Y9" i="2"/>
  <c r="Y8" i="2"/>
  <c r="Y19" i="2"/>
  <c r="Z19" i="2" s="1"/>
  <c r="Y18" i="2"/>
  <c r="Y17" i="2"/>
  <c r="W17" i="2"/>
  <c r="Y16" i="2"/>
  <c r="Z16" i="2" s="1"/>
  <c r="W16" i="2"/>
  <c r="Y15" i="2"/>
  <c r="W15" i="2"/>
  <c r="Y14" i="2"/>
  <c r="Z14" i="2" s="1"/>
  <c r="W14" i="2"/>
  <c r="Y13" i="2"/>
  <c r="W13" i="2"/>
  <c r="W12" i="2"/>
  <c r="Z11" i="2"/>
  <c r="Y11" i="2"/>
  <c r="W11" i="2"/>
  <c r="Y10" i="2"/>
  <c r="W10" i="2"/>
  <c r="Z9" i="2"/>
  <c r="W9" i="2"/>
  <c r="Z8" i="2"/>
  <c r="W8" i="2"/>
  <c r="Y19" i="1"/>
  <c r="Z19" i="1" s="1"/>
  <c r="AB19" i="1" s="1"/>
  <c r="Y18" i="1"/>
  <c r="AA18" i="1" s="1"/>
  <c r="AA18" i="2" s="1"/>
  <c r="AB18" i="3" s="1"/>
  <c r="Y17" i="1"/>
  <c r="AA17" i="1" s="1"/>
  <c r="AA17" i="2" s="1"/>
  <c r="AB17" i="3" s="1"/>
  <c r="Y16" i="1"/>
  <c r="Y15" i="1"/>
  <c r="Y14" i="1"/>
  <c r="Z14" i="1" s="1"/>
  <c r="AB14" i="1" s="1"/>
  <c r="Y13" i="1"/>
  <c r="Z13" i="1" s="1"/>
  <c r="AB13" i="1" s="1"/>
  <c r="Y12" i="1"/>
  <c r="AA12" i="1" s="1"/>
  <c r="AA12" i="2" s="1"/>
  <c r="Y11" i="1"/>
  <c r="AA11" i="1" s="1"/>
  <c r="AA11" i="2" s="1"/>
  <c r="AB11" i="3" s="1"/>
  <c r="Y10" i="1"/>
  <c r="Z10" i="1" s="1"/>
  <c r="AB10" i="1" s="1"/>
  <c r="Y9" i="1"/>
  <c r="AA9" i="1" s="1"/>
  <c r="Z8" i="1"/>
  <c r="W14" i="1"/>
  <c r="W13" i="1"/>
  <c r="W12" i="1"/>
  <c r="W11" i="1"/>
  <c r="W10" i="1"/>
  <c r="W9" i="1"/>
  <c r="W8" i="1"/>
  <c r="AC20" i="30"/>
  <c r="W15" i="1"/>
  <c r="AA14" i="4" l="1"/>
  <c r="AA14" i="5" s="1"/>
  <c r="AA14" i="6" s="1"/>
  <c r="AA14" i="7" s="1"/>
  <c r="AA14" i="8" s="1"/>
  <c r="AA14" i="9" s="1"/>
  <c r="AA14" i="10" s="1"/>
  <c r="AA14" i="11" s="1"/>
  <c r="AA14" i="12" s="1"/>
  <c r="AA14" i="13" s="1"/>
  <c r="AA14" i="14" s="1"/>
  <c r="AA14" i="15" s="1"/>
  <c r="AA14" i="16" s="1"/>
  <c r="AA14" i="17" s="1"/>
  <c r="AA14" i="18" s="1"/>
  <c r="AA14" i="19" s="1"/>
  <c r="AA14" i="20" s="1"/>
  <c r="Z14" i="4"/>
  <c r="AB14" i="4" s="1"/>
  <c r="AA20" i="3"/>
  <c r="AA11" i="5"/>
  <c r="AA11" i="6" s="1"/>
  <c r="AA11" i="7" s="1"/>
  <c r="AA11" i="8" s="1"/>
  <c r="AA11" i="9" s="1"/>
  <c r="AA11" i="10" s="1"/>
  <c r="AA11" i="11" s="1"/>
  <c r="AA11" i="12" s="1"/>
  <c r="AA11" i="13" s="1"/>
  <c r="AA11" i="14" s="1"/>
  <c r="AA11" i="15" s="1"/>
  <c r="AA11" i="16" s="1"/>
  <c r="AA11" i="17" s="1"/>
  <c r="AA11" i="18" s="1"/>
  <c r="AA11" i="19" s="1"/>
  <c r="AA11" i="20" s="1"/>
  <c r="Z11" i="4"/>
  <c r="Z17" i="4"/>
  <c r="AB17" i="5" s="1"/>
  <c r="AB17" i="6" s="1"/>
  <c r="Z16" i="1"/>
  <c r="AB16" i="1" s="1"/>
  <c r="AA15" i="1"/>
  <c r="Z15" i="1"/>
  <c r="Z11" i="26"/>
  <c r="Z15" i="13"/>
  <c r="Y20" i="13"/>
  <c r="Z20" i="3"/>
  <c r="AB12" i="3"/>
  <c r="AB11" i="5"/>
  <c r="AB11" i="6" s="1"/>
  <c r="AA9" i="3"/>
  <c r="AA9" i="5" s="1"/>
  <c r="AA9" i="6" s="1"/>
  <c r="AA9" i="7" s="1"/>
  <c r="AA9" i="8" s="1"/>
  <c r="AA9" i="9" s="1"/>
  <c r="AA9" i="10" s="1"/>
  <c r="AA9" i="11" s="1"/>
  <c r="AA9" i="12" s="1"/>
  <c r="AA9" i="13" s="1"/>
  <c r="AA9" i="14" s="1"/>
  <c r="AA9" i="15" s="1"/>
  <c r="AA9" i="16" s="1"/>
  <c r="AA9" i="17" s="1"/>
  <c r="AA9" i="18" s="1"/>
  <c r="AA9" i="19" s="1"/>
  <c r="AA9" i="20" s="1"/>
  <c r="AA9" i="21" s="1"/>
  <c r="AA9" i="22" s="1"/>
  <c r="AA11" i="21"/>
  <c r="AA11" i="22" s="1"/>
  <c r="AA14" i="21"/>
  <c r="AA14" i="22" s="1"/>
  <c r="AA10" i="1"/>
  <c r="AA10" i="2" s="1"/>
  <c r="AA12" i="21"/>
  <c r="AA12" i="22" s="1"/>
  <c r="AA9" i="2"/>
  <c r="AB9" i="3" s="1"/>
  <c r="AA15" i="2"/>
  <c r="AB15" i="3" s="1"/>
  <c r="AA15" i="4" s="1"/>
  <c r="AB19" i="2"/>
  <c r="AC19" i="3" s="1"/>
  <c r="AA13" i="1"/>
  <c r="AA13" i="2" s="1"/>
  <c r="AB13" i="3" s="1"/>
  <c r="AA16" i="1"/>
  <c r="AA16" i="2" s="1"/>
  <c r="AB16" i="3" s="1"/>
  <c r="AA16" i="4" s="1"/>
  <c r="AA16" i="5" s="1"/>
  <c r="AA16" i="6" s="1"/>
  <c r="AA16" i="7" s="1"/>
  <c r="AA16" i="8" s="1"/>
  <c r="AA16" i="9" s="1"/>
  <c r="AA16" i="10" s="1"/>
  <c r="AA16" i="11" s="1"/>
  <c r="AA16" i="12" s="1"/>
  <c r="AA16" i="13" s="1"/>
  <c r="AA16" i="14" s="1"/>
  <c r="AA16" i="15" s="1"/>
  <c r="AA16" i="16" s="1"/>
  <c r="AA16" i="17" s="1"/>
  <c r="AA16" i="18" s="1"/>
  <c r="AA16" i="19" s="1"/>
  <c r="AA16" i="20" s="1"/>
  <c r="AA16" i="21" s="1"/>
  <c r="AA16" i="22" s="1"/>
  <c r="AA19" i="1"/>
  <c r="AA19" i="2" s="1"/>
  <c r="AB19" i="3" s="1"/>
  <c r="AB19" i="4" s="1"/>
  <c r="AB19" i="5" s="1"/>
  <c r="AB19" i="6" s="1"/>
  <c r="AB19" i="7" s="1"/>
  <c r="AB8" i="1"/>
  <c r="AB8" i="2" s="1"/>
  <c r="AC8" i="3" s="1"/>
  <c r="AB14" i="2"/>
  <c r="AC14" i="3" s="1"/>
  <c r="Z9" i="1"/>
  <c r="AB9" i="1" s="1"/>
  <c r="AB9" i="2" s="1"/>
  <c r="AB15" i="1"/>
  <c r="AB15" i="2" s="1"/>
  <c r="AC15" i="3" s="1"/>
  <c r="AB15" i="4" s="1"/>
  <c r="Y20" i="1"/>
  <c r="AA8" i="1"/>
  <c r="AA8" i="2" s="1"/>
  <c r="AA14" i="1"/>
  <c r="AA14" i="2" s="1"/>
  <c r="AB14" i="3" s="1"/>
  <c r="AB14" i="5" s="1"/>
  <c r="AB14" i="6" s="1"/>
  <c r="Z11" i="1"/>
  <c r="AB11" i="1" s="1"/>
  <c r="AB11" i="2" s="1"/>
  <c r="AC11" i="3" s="1"/>
  <c r="AB17" i="1"/>
  <c r="Z12" i="1"/>
  <c r="AB12" i="1" s="1"/>
  <c r="AB12" i="2" s="1"/>
  <c r="AC12" i="3" s="1"/>
  <c r="Z18" i="1"/>
  <c r="AB18" i="1" s="1"/>
  <c r="Z12" i="31"/>
  <c r="Z19" i="31"/>
  <c r="Z19" i="28"/>
  <c r="Y20" i="28"/>
  <c r="Z14" i="27"/>
  <c r="Z9" i="27"/>
  <c r="Z12" i="25"/>
  <c r="Z14" i="25"/>
  <c r="Z19" i="25"/>
  <c r="Z18" i="24"/>
  <c r="Z9" i="24"/>
  <c r="Z13" i="24"/>
  <c r="Z19" i="23"/>
  <c r="Z9" i="23"/>
  <c r="Z9" i="22"/>
  <c r="Z11" i="22"/>
  <c r="Z18" i="21"/>
  <c r="Z11" i="21"/>
  <c r="Z13" i="21"/>
  <c r="Z9" i="20"/>
  <c r="Z19" i="20"/>
  <c r="Z13" i="19"/>
  <c r="Z19" i="19"/>
  <c r="Z13" i="18"/>
  <c r="Y20" i="18"/>
  <c r="Z8" i="17"/>
  <c r="Z14" i="17"/>
  <c r="Z8" i="16"/>
  <c r="Z10" i="16"/>
  <c r="Z14" i="16"/>
  <c r="Z19" i="16"/>
  <c r="Z18" i="16"/>
  <c r="Z8" i="15"/>
  <c r="Z8" i="14"/>
  <c r="Z12" i="13"/>
  <c r="Y20" i="12"/>
  <c r="Z12" i="12"/>
  <c r="Z19" i="12"/>
  <c r="Z8" i="11"/>
  <c r="Z14" i="11"/>
  <c r="Z13" i="11"/>
  <c r="Z19" i="10"/>
  <c r="Y20" i="10"/>
  <c r="Z10" i="8"/>
  <c r="Z14" i="8"/>
  <c r="Z18" i="8"/>
  <c r="Z14" i="7"/>
  <c r="Z9" i="7"/>
  <c r="Y20" i="7"/>
  <c r="Z12" i="7"/>
  <c r="Z9" i="6"/>
  <c r="Z12" i="6"/>
  <c r="Y20" i="6"/>
  <c r="Z8" i="6"/>
  <c r="Y20" i="30"/>
  <c r="Z9" i="30"/>
  <c r="Z19" i="21"/>
  <c r="Z11" i="11"/>
  <c r="Z18" i="5"/>
  <c r="Z18" i="30"/>
  <c r="AB18" i="30" s="1"/>
  <c r="AB18" i="31" s="1"/>
  <c r="Y20" i="24"/>
  <c r="Z8" i="24"/>
  <c r="Y20" i="14"/>
  <c r="Z11" i="14"/>
  <c r="Z12" i="23"/>
  <c r="Z11" i="5"/>
  <c r="Z13" i="27"/>
  <c r="Y20" i="26"/>
  <c r="Z18" i="25"/>
  <c r="AA18" i="27" s="1"/>
  <c r="AA18" i="28" s="1"/>
  <c r="AA18" i="29" s="1"/>
  <c r="AA18" i="30" s="1"/>
  <c r="AA18" i="31" s="1"/>
  <c r="Z12" i="24"/>
  <c r="Z18" i="19"/>
  <c r="Z19" i="17"/>
  <c r="Z13" i="16"/>
  <c r="Z13" i="15"/>
  <c r="Z13" i="22"/>
  <c r="Z11" i="20"/>
  <c r="Z10" i="17"/>
  <c r="Z11" i="31"/>
  <c r="Z13" i="30"/>
  <c r="Z14" i="26"/>
  <c r="Y20" i="23"/>
  <c r="Z8" i="21"/>
  <c r="Y20" i="21"/>
  <c r="Y20" i="5"/>
  <c r="Z9" i="5"/>
  <c r="Z11" i="25"/>
  <c r="Z10" i="5"/>
  <c r="Z9" i="29"/>
  <c r="Z11" i="29"/>
  <c r="Y20" i="29"/>
  <c r="Z14" i="21"/>
  <c r="Y20" i="27"/>
  <c r="Y20" i="16"/>
  <c r="Y20" i="25"/>
  <c r="Y20" i="19"/>
  <c r="Z19" i="29"/>
  <c r="Z14" i="28"/>
  <c r="Z12" i="26"/>
  <c r="Z19" i="26"/>
  <c r="Z13" i="25"/>
  <c r="Z19" i="24"/>
  <c r="Z11" i="23"/>
  <c r="Z18" i="22"/>
  <c r="AB18" i="23" s="1"/>
  <c r="AB18" i="24" s="1"/>
  <c r="Z8" i="19"/>
  <c r="Z14" i="19"/>
  <c r="Z9" i="17"/>
  <c r="Y20" i="17"/>
  <c r="Z12" i="16"/>
  <c r="Z14" i="15"/>
  <c r="Y20" i="15"/>
  <c r="Z12" i="10"/>
  <c r="Y20" i="22"/>
  <c r="Z9" i="21"/>
  <c r="Y20" i="20"/>
  <c r="Z20" i="18"/>
  <c r="Z10" i="12"/>
  <c r="Z18" i="12"/>
  <c r="Z18" i="11"/>
  <c r="Z18" i="10"/>
  <c r="Y20" i="11"/>
  <c r="Z13" i="9"/>
  <c r="Y20" i="8"/>
  <c r="Z9" i="8"/>
  <c r="Z19" i="8"/>
  <c r="AB17" i="7"/>
  <c r="AB17" i="8" s="1"/>
  <c r="AB17" i="9" s="1"/>
  <c r="AB17" i="10" s="1"/>
  <c r="AB17" i="11" s="1"/>
  <c r="AB17" i="12" s="1"/>
  <c r="AB17" i="13" s="1"/>
  <c r="AB17" i="14" s="1"/>
  <c r="Z10" i="11"/>
  <c r="Z18" i="6"/>
  <c r="Y20" i="9"/>
  <c r="Z8" i="12"/>
  <c r="Z8" i="9"/>
  <c r="Z18" i="9"/>
  <c r="Z11" i="7"/>
  <c r="Z13" i="6"/>
  <c r="Z12" i="8"/>
  <c r="Z8" i="7"/>
  <c r="Z13" i="4"/>
  <c r="Z18" i="4"/>
  <c r="AB18" i="4" s="1"/>
  <c r="AB18" i="5" s="1"/>
  <c r="AB18" i="6" s="1"/>
  <c r="AB18" i="7" s="1"/>
  <c r="AB18" i="8" s="1"/>
  <c r="AB18" i="9" s="1"/>
  <c r="AB18" i="10" s="1"/>
  <c r="AB18" i="11" s="1"/>
  <c r="AB18" i="12" s="1"/>
  <c r="AB18" i="13" s="1"/>
  <c r="AB18" i="14" s="1"/>
  <c r="AB18" i="15" s="1"/>
  <c r="AB18" i="16" s="1"/>
  <c r="AB18" i="17" s="1"/>
  <c r="AB18" i="18" s="1"/>
  <c r="AB18" i="19" s="1"/>
  <c r="AB18" i="20" s="1"/>
  <c r="Z12" i="4"/>
  <c r="Z10" i="4"/>
  <c r="AB10" i="4" s="1"/>
  <c r="AA13" i="3"/>
  <c r="AA13" i="5" s="1"/>
  <c r="AA13" i="6" s="1"/>
  <c r="AA13" i="7" s="1"/>
  <c r="AA13" i="8" s="1"/>
  <c r="AA13" i="9" s="1"/>
  <c r="AA13" i="10" s="1"/>
  <c r="AA13" i="11" s="1"/>
  <c r="AA13" i="12" s="1"/>
  <c r="AA13" i="13" s="1"/>
  <c r="AA13" i="14" s="1"/>
  <c r="AA13" i="15" s="1"/>
  <c r="AA13" i="16" s="1"/>
  <c r="AA13" i="17" s="1"/>
  <c r="AA13" i="18" s="1"/>
  <c r="AA13" i="19" s="1"/>
  <c r="AA13" i="20" s="1"/>
  <c r="AA13" i="21" s="1"/>
  <c r="AA13" i="22" s="1"/>
  <c r="AA18" i="3"/>
  <c r="AA18" i="5" s="1"/>
  <c r="AA18" i="6" s="1"/>
  <c r="AA18" i="7" s="1"/>
  <c r="AA18" i="8" s="1"/>
  <c r="AA18" i="9" s="1"/>
  <c r="AA18" i="10" s="1"/>
  <c r="AA18" i="11" s="1"/>
  <c r="AA18" i="12" s="1"/>
  <c r="AA18" i="13" s="1"/>
  <c r="AA18" i="14" s="1"/>
  <c r="AA18" i="15" s="1"/>
  <c r="AA18" i="16" s="1"/>
  <c r="AA18" i="17" s="1"/>
  <c r="AA18" i="18" s="1"/>
  <c r="AA18" i="19" s="1"/>
  <c r="AA18" i="20" s="1"/>
  <c r="AA18" i="21" s="1"/>
  <c r="AA17" i="5"/>
  <c r="AA17" i="6" s="1"/>
  <c r="AA17" i="7" s="1"/>
  <c r="AA17" i="8" s="1"/>
  <c r="AA17" i="9" s="1"/>
  <c r="AA17" i="10" s="1"/>
  <c r="AA17" i="11" s="1"/>
  <c r="AA17" i="12" s="1"/>
  <c r="AA17" i="13" s="1"/>
  <c r="AA17" i="14" s="1"/>
  <c r="AA17" i="15" s="1"/>
  <c r="AA17" i="16" s="1"/>
  <c r="AA17" i="17" s="1"/>
  <c r="AA17" i="18" s="1"/>
  <c r="AA17" i="19" s="1"/>
  <c r="AA17" i="20" s="1"/>
  <c r="AA17" i="21" s="1"/>
  <c r="AA17" i="22" s="1"/>
  <c r="AA10" i="3"/>
  <c r="AA10" i="5" s="1"/>
  <c r="AA10" i="6" s="1"/>
  <c r="AA10" i="7" s="1"/>
  <c r="AA10" i="8" s="1"/>
  <c r="AA10" i="9" s="1"/>
  <c r="AA10" i="10" s="1"/>
  <c r="AA10" i="11" s="1"/>
  <c r="AA10" i="12" s="1"/>
  <c r="AA10" i="13" s="1"/>
  <c r="AA10" i="14" s="1"/>
  <c r="AA10" i="15" s="1"/>
  <c r="AA10" i="16" s="1"/>
  <c r="AA10" i="17" s="1"/>
  <c r="AA10" i="18" s="1"/>
  <c r="AA10" i="19" s="1"/>
  <c r="AA10" i="20" s="1"/>
  <c r="AA10" i="21" s="1"/>
  <c r="AA10" i="22" s="1"/>
  <c r="Z13" i="2"/>
  <c r="AB13" i="2" s="1"/>
  <c r="Z18" i="2"/>
  <c r="Y20" i="2"/>
  <c r="Z10" i="2"/>
  <c r="AB10" i="2" s="1"/>
  <c r="AB16" i="2"/>
  <c r="AC16" i="3" s="1"/>
  <c r="AB16" i="4" s="1"/>
  <c r="AB14" i="7" l="1"/>
  <c r="AB12" i="4"/>
  <c r="AB12" i="5" s="1"/>
  <c r="AB12" i="6" s="1"/>
  <c r="AB12" i="7" s="1"/>
  <c r="AB12" i="8" s="1"/>
  <c r="AB12" i="9" s="1"/>
  <c r="AB12" i="10" s="1"/>
  <c r="AB12" i="11" s="1"/>
  <c r="AB12" i="12" s="1"/>
  <c r="AB12" i="13" s="1"/>
  <c r="AB12" i="14" s="1"/>
  <c r="AB12" i="15" s="1"/>
  <c r="AB12" i="16" s="1"/>
  <c r="AB12" i="17" s="1"/>
  <c r="AB12" i="18" s="1"/>
  <c r="AB12" i="19" s="1"/>
  <c r="AB12" i="20" s="1"/>
  <c r="AB12" i="21" s="1"/>
  <c r="AA12" i="23"/>
  <c r="AA12" i="24" s="1"/>
  <c r="AA12" i="25" s="1"/>
  <c r="AA12" i="26" s="1"/>
  <c r="AB12" i="22"/>
  <c r="AB12" i="23"/>
  <c r="AB12" i="24" s="1"/>
  <c r="AB12" i="25" s="1"/>
  <c r="AB12" i="26" s="1"/>
  <c r="AB12" i="27" s="1"/>
  <c r="AB12" i="28" s="1"/>
  <c r="AB12" i="29" s="1"/>
  <c r="AB12" i="30" s="1"/>
  <c r="AA12" i="27"/>
  <c r="AA12" i="28" s="1"/>
  <c r="AA12" i="29" s="1"/>
  <c r="AA12" i="30" s="1"/>
  <c r="AA12" i="31" s="1"/>
  <c r="AB15" i="5"/>
  <c r="AB15" i="6" s="1"/>
  <c r="AB15" i="7" s="1"/>
  <c r="AA15" i="5"/>
  <c r="AA15" i="6" s="1"/>
  <c r="AA15" i="7" s="1"/>
  <c r="AA15" i="8" s="1"/>
  <c r="AA15" i="9" s="1"/>
  <c r="AA15" i="10" s="1"/>
  <c r="AA15" i="11" s="1"/>
  <c r="AA15" i="12" s="1"/>
  <c r="AA15" i="13" s="1"/>
  <c r="AA15" i="14" s="1"/>
  <c r="AA15" i="15" s="1"/>
  <c r="AA15" i="16" s="1"/>
  <c r="AA15" i="17" s="1"/>
  <c r="AA15" i="18" s="1"/>
  <c r="AA15" i="19" s="1"/>
  <c r="AA15" i="20" s="1"/>
  <c r="AA15" i="21" s="1"/>
  <c r="AA15" i="22" s="1"/>
  <c r="AB8" i="3"/>
  <c r="AB17" i="15"/>
  <c r="AB17" i="16" s="1"/>
  <c r="AB17" i="17" s="1"/>
  <c r="AB17" i="18" s="1"/>
  <c r="AB17" i="19" s="1"/>
  <c r="AB17" i="20" s="1"/>
  <c r="AB18" i="21"/>
  <c r="AA18" i="23" s="1"/>
  <c r="AA18" i="24" s="1"/>
  <c r="AC9" i="3"/>
  <c r="Z20" i="14"/>
  <c r="AB14" i="8"/>
  <c r="AB14" i="9" s="1"/>
  <c r="AB14" i="10" s="1"/>
  <c r="AB14" i="11" s="1"/>
  <c r="AB14" i="12" s="1"/>
  <c r="AB14" i="13" s="1"/>
  <c r="AB14" i="14" s="1"/>
  <c r="AB14" i="15" s="1"/>
  <c r="AB14" i="16" s="1"/>
  <c r="AB14" i="17" s="1"/>
  <c r="AB14" i="18" s="1"/>
  <c r="AB14" i="19" s="1"/>
  <c r="AB14" i="20" s="1"/>
  <c r="AB14" i="21" s="1"/>
  <c r="AB11" i="7"/>
  <c r="AB11" i="8" s="1"/>
  <c r="AB11" i="9" s="1"/>
  <c r="AB11" i="10" s="1"/>
  <c r="AB11" i="11" s="1"/>
  <c r="AB11" i="12" s="1"/>
  <c r="AB11" i="13" s="1"/>
  <c r="AB11" i="14" s="1"/>
  <c r="AB11" i="15" s="1"/>
  <c r="AB11" i="16" s="1"/>
  <c r="AB11" i="17" s="1"/>
  <c r="AB11" i="18" s="1"/>
  <c r="AB11" i="19" s="1"/>
  <c r="AB11" i="20" s="1"/>
  <c r="AB11" i="21" s="1"/>
  <c r="Z20" i="11"/>
  <c r="AB12" i="31"/>
  <c r="AB19" i="8"/>
  <c r="AB19" i="9" s="1"/>
  <c r="AB19" i="10" s="1"/>
  <c r="AB19" i="11" s="1"/>
  <c r="AB19" i="12" s="1"/>
  <c r="AB19" i="13" s="1"/>
  <c r="AB19" i="14" s="1"/>
  <c r="AB19" i="15" s="1"/>
  <c r="AB19" i="16" s="1"/>
  <c r="AB19" i="17" s="1"/>
  <c r="AB19" i="18" s="1"/>
  <c r="AB19" i="19" s="1"/>
  <c r="AB19" i="20" s="1"/>
  <c r="AB19" i="21" s="1"/>
  <c r="AB16" i="5"/>
  <c r="AB16" i="6" s="1"/>
  <c r="AB16" i="7" s="1"/>
  <c r="AB16" i="8" s="1"/>
  <c r="AB16" i="9" s="1"/>
  <c r="AB16" i="10" s="1"/>
  <c r="AB16" i="11" s="1"/>
  <c r="AB16" i="12" s="1"/>
  <c r="AB16" i="13" s="1"/>
  <c r="AB16" i="14" s="1"/>
  <c r="AB15" i="8"/>
  <c r="AB15" i="9" s="1"/>
  <c r="AB15" i="10" s="1"/>
  <c r="AB15" i="11" s="1"/>
  <c r="AB15" i="12" s="1"/>
  <c r="AB15" i="13" s="1"/>
  <c r="AB15" i="14" s="1"/>
  <c r="AB15" i="15" s="1"/>
  <c r="AB15" i="16" s="1"/>
  <c r="AB15" i="17" s="1"/>
  <c r="AB15" i="18" s="1"/>
  <c r="AB15" i="19" s="1"/>
  <c r="AB15" i="20" s="1"/>
  <c r="AB15" i="21" s="1"/>
  <c r="AB13" i="5"/>
  <c r="AB13" i="6" s="1"/>
  <c r="AB13" i="7" s="1"/>
  <c r="AB13" i="8" s="1"/>
  <c r="AB13" i="9" s="1"/>
  <c r="AB13" i="10" s="1"/>
  <c r="AB13" i="11" s="1"/>
  <c r="AB13" i="12" s="1"/>
  <c r="AB13" i="13" s="1"/>
  <c r="AB13" i="14" s="1"/>
  <c r="AB13" i="15" s="1"/>
  <c r="AB13" i="16" s="1"/>
  <c r="AB13" i="17" s="1"/>
  <c r="AB13" i="18" s="1"/>
  <c r="AB13" i="19" s="1"/>
  <c r="AB13" i="20" s="1"/>
  <c r="AB13" i="21" s="1"/>
  <c r="AB9" i="5"/>
  <c r="AB9" i="6" s="1"/>
  <c r="AB9" i="7" s="1"/>
  <c r="AB9" i="8" s="1"/>
  <c r="AB9" i="9" s="1"/>
  <c r="AB9" i="10" s="1"/>
  <c r="AB9" i="11" s="1"/>
  <c r="AB9" i="12" s="1"/>
  <c r="AB9" i="13" s="1"/>
  <c r="AB9" i="14" s="1"/>
  <c r="AB9" i="15" s="1"/>
  <c r="AB9" i="16" s="1"/>
  <c r="AB9" i="17" s="1"/>
  <c r="AB9" i="18" s="1"/>
  <c r="AB9" i="19" s="1"/>
  <c r="AB9" i="20" s="1"/>
  <c r="AB9" i="21" s="1"/>
  <c r="AB17" i="21"/>
  <c r="AB10" i="5"/>
  <c r="AB10" i="6" s="1"/>
  <c r="AB10" i="7" s="1"/>
  <c r="AB10" i="8" s="1"/>
  <c r="AB10" i="9" s="1"/>
  <c r="AB10" i="10" s="1"/>
  <c r="AB10" i="11" s="1"/>
  <c r="AB10" i="12" s="1"/>
  <c r="AB10" i="13" s="1"/>
  <c r="AB10" i="14" s="1"/>
  <c r="AB10" i="15" s="1"/>
  <c r="AB10" i="16" s="1"/>
  <c r="AB10" i="17" s="1"/>
  <c r="AB10" i="18" s="1"/>
  <c r="AB10" i="19" s="1"/>
  <c r="AB10" i="20" s="1"/>
  <c r="AB10" i="21" s="1"/>
  <c r="AC13" i="3"/>
  <c r="AC10" i="3"/>
  <c r="AA20" i="1"/>
  <c r="AB17" i="2"/>
  <c r="AC17" i="3" s="1"/>
  <c r="AB18" i="2"/>
  <c r="AC18" i="3" s="1"/>
  <c r="AB20" i="3"/>
  <c r="Z20" i="1"/>
  <c r="AA20" i="2"/>
  <c r="AB20" i="1"/>
  <c r="Z20" i="26"/>
  <c r="Z20" i="22"/>
  <c r="Z20" i="8"/>
  <c r="Z20" i="13"/>
  <c r="Z20" i="17"/>
  <c r="Z20" i="6"/>
  <c r="Z20" i="25"/>
  <c r="Z20" i="16"/>
  <c r="Z20" i="9"/>
  <c r="Z20" i="10"/>
  <c r="Z20" i="19"/>
  <c r="Z20" i="20"/>
  <c r="Z20" i="29"/>
  <c r="Z20" i="5"/>
  <c r="Z20" i="21"/>
  <c r="Z20" i="28"/>
  <c r="Z20" i="24"/>
  <c r="Z20" i="7"/>
  <c r="Z20" i="12"/>
  <c r="Z20" i="15"/>
  <c r="Z20" i="30"/>
  <c r="Z20" i="31"/>
  <c r="Z20" i="23"/>
  <c r="Z20" i="4"/>
  <c r="Z20" i="2"/>
  <c r="AA19" i="23" l="1"/>
  <c r="AA19" i="24" s="1"/>
  <c r="AA19" i="25" s="1"/>
  <c r="AA19" i="26" s="1"/>
  <c r="AA19" i="27" s="1"/>
  <c r="AA19" i="28" s="1"/>
  <c r="AA19" i="29" s="1"/>
  <c r="AA19" i="30" s="1"/>
  <c r="AA19" i="31" s="1"/>
  <c r="AB19" i="22"/>
  <c r="AB19" i="23" s="1"/>
  <c r="AB19" i="24" s="1"/>
  <c r="AB19" i="25" s="1"/>
  <c r="AB19" i="26" s="1"/>
  <c r="AB19" i="27" s="1"/>
  <c r="AB19" i="28" s="1"/>
  <c r="AB19" i="29" s="1"/>
  <c r="AB19" i="30" s="1"/>
  <c r="AA10" i="23"/>
  <c r="AA10" i="24" s="1"/>
  <c r="AA10" i="25" s="1"/>
  <c r="AA10" i="26" s="1"/>
  <c r="AA10" i="27" s="1"/>
  <c r="AA10" i="28" s="1"/>
  <c r="AA10" i="29" s="1"/>
  <c r="AA10" i="30" s="1"/>
  <c r="AA10" i="31" s="1"/>
  <c r="AB10" i="22"/>
  <c r="AB10" i="23" s="1"/>
  <c r="AB10" i="24" s="1"/>
  <c r="AB10" i="25" s="1"/>
  <c r="AB10" i="26" s="1"/>
  <c r="AB10" i="27" s="1"/>
  <c r="AB10" i="28" s="1"/>
  <c r="AB10" i="29" s="1"/>
  <c r="AB10" i="30" s="1"/>
  <c r="AB10" i="31" s="1"/>
  <c r="AA11" i="23"/>
  <c r="AA11" i="24" s="1"/>
  <c r="AA11" i="25" s="1"/>
  <c r="AA11" i="26" s="1"/>
  <c r="AA11" i="27" s="1"/>
  <c r="AA11" i="28" s="1"/>
  <c r="AA11" i="29" s="1"/>
  <c r="AA11" i="30" s="1"/>
  <c r="AA11" i="31" s="1"/>
  <c r="AB11" i="22"/>
  <c r="AB11" i="23" s="1"/>
  <c r="AA13" i="23"/>
  <c r="AA13" i="24" s="1"/>
  <c r="AA13" i="25" s="1"/>
  <c r="AA13" i="26" s="1"/>
  <c r="AA13" i="27" s="1"/>
  <c r="AA13" i="28" s="1"/>
  <c r="AA13" i="29" s="1"/>
  <c r="AA13" i="30" s="1"/>
  <c r="AA13" i="31" s="1"/>
  <c r="AB13" i="22"/>
  <c r="AB13" i="23" s="1"/>
  <c r="AB13" i="24" s="1"/>
  <c r="AB13" i="25" s="1"/>
  <c r="AB13" i="26" s="1"/>
  <c r="AB13" i="27" s="1"/>
  <c r="AB13" i="28" s="1"/>
  <c r="AB13" i="29" s="1"/>
  <c r="AB13" i="30" s="1"/>
  <c r="AB13" i="31" s="1"/>
  <c r="AA9" i="23"/>
  <c r="AA9" i="24" s="1"/>
  <c r="AA9" i="25" s="1"/>
  <c r="AA9" i="26" s="1"/>
  <c r="AA9" i="27" s="1"/>
  <c r="AA9" i="28" s="1"/>
  <c r="AA9" i="29" s="1"/>
  <c r="AA9" i="30" s="1"/>
  <c r="AA9" i="31" s="1"/>
  <c r="AB9" i="22"/>
  <c r="AB9" i="23" s="1"/>
  <c r="AA17" i="23"/>
  <c r="AA17" i="24" s="1"/>
  <c r="AA17" i="25" s="1"/>
  <c r="AA17" i="26" s="1"/>
  <c r="AA17" i="27" s="1"/>
  <c r="AA17" i="28" s="1"/>
  <c r="AA17" i="29" s="1"/>
  <c r="AA17" i="30" s="1"/>
  <c r="AA17" i="31" s="1"/>
  <c r="AB17" i="22"/>
  <c r="AB17" i="23" s="1"/>
  <c r="AB17" i="24" s="1"/>
  <c r="AB17" i="25" s="1"/>
  <c r="AB17" i="26" s="1"/>
  <c r="AB17" i="27" s="1"/>
  <c r="AB17" i="28" s="1"/>
  <c r="AB17" i="29" s="1"/>
  <c r="AB17" i="30" s="1"/>
  <c r="AB17" i="31" s="1"/>
  <c r="AA15" i="23"/>
  <c r="AA15" i="24" s="1"/>
  <c r="AA15" i="25" s="1"/>
  <c r="AA15" i="26" s="1"/>
  <c r="AA15" i="27" s="1"/>
  <c r="AA15" i="28" s="1"/>
  <c r="AA15" i="29" s="1"/>
  <c r="AA15" i="30" s="1"/>
  <c r="AA15" i="31" s="1"/>
  <c r="AB15" i="22"/>
  <c r="AB15" i="23" s="1"/>
  <c r="AB15" i="24" s="1"/>
  <c r="AB15" i="25" s="1"/>
  <c r="AB15" i="26" s="1"/>
  <c r="AB15" i="27" s="1"/>
  <c r="AB15" i="28" s="1"/>
  <c r="AB15" i="29" s="1"/>
  <c r="AB15" i="30" s="1"/>
  <c r="AB15" i="31" s="1"/>
  <c r="AA14" i="23"/>
  <c r="AA14" i="24" s="1"/>
  <c r="AA14" i="25" s="1"/>
  <c r="AA14" i="26" s="1"/>
  <c r="AA14" i="27" s="1"/>
  <c r="AA14" i="28" s="1"/>
  <c r="AA14" i="29" s="1"/>
  <c r="AA14" i="30" s="1"/>
  <c r="AA14" i="31" s="1"/>
  <c r="AB14" i="22"/>
  <c r="AB14" i="23" s="1"/>
  <c r="AB14" i="24" s="1"/>
  <c r="AB14" i="25" s="1"/>
  <c r="AB14" i="26" s="1"/>
  <c r="AB14" i="27" s="1"/>
  <c r="AB14" i="28" s="1"/>
  <c r="AB14" i="29" s="1"/>
  <c r="AB14" i="30" s="1"/>
  <c r="AB14" i="31" s="1"/>
  <c r="AB9" i="24"/>
  <c r="AB9" i="25" s="1"/>
  <c r="AB9" i="26" s="1"/>
  <c r="AB9" i="27" s="1"/>
  <c r="AB9" i="28" s="1"/>
  <c r="AB9" i="29" s="1"/>
  <c r="AB9" i="30" s="1"/>
  <c r="AB9" i="31" s="1"/>
  <c r="AB11" i="24"/>
  <c r="AB11" i="25" s="1"/>
  <c r="AB11" i="26" s="1"/>
  <c r="AB11" i="27" s="1"/>
  <c r="AB11" i="28" s="1"/>
  <c r="AB11" i="29" s="1"/>
  <c r="AB11" i="30" s="1"/>
  <c r="AB11" i="31" s="1"/>
  <c r="AA8" i="4"/>
  <c r="AB8" i="4"/>
  <c r="AB8" i="5" s="1"/>
  <c r="AB8" i="6" s="1"/>
  <c r="AB8" i="7" s="1"/>
  <c r="AB8" i="8" s="1"/>
  <c r="AB16" i="15"/>
  <c r="AB16" i="16" s="1"/>
  <c r="AB16" i="17" s="1"/>
  <c r="AB20" i="7"/>
  <c r="AB20" i="5"/>
  <c r="AB20" i="6"/>
  <c r="AB20" i="4"/>
  <c r="AB20" i="2"/>
  <c r="AB19" i="31"/>
  <c r="AC20" i="3"/>
  <c r="AB8" i="9" l="1"/>
  <c r="AB20" i="8"/>
  <c r="AA20" i="4"/>
  <c r="AA8" i="5"/>
  <c r="AB16" i="18"/>
  <c r="E38" i="1"/>
  <c r="D15" i="1"/>
  <c r="D38" i="1"/>
  <c r="D18" i="1"/>
  <c r="D39" i="1" s="1"/>
  <c r="R38" i="31"/>
  <c r="P38" i="31"/>
  <c r="N38" i="31"/>
  <c r="H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R18" i="31"/>
  <c r="P18" i="31"/>
  <c r="N18" i="31"/>
  <c r="H18" i="31"/>
  <c r="J17" i="31"/>
  <c r="J18" i="31" s="1"/>
  <c r="R15" i="31"/>
  <c r="P15" i="31"/>
  <c r="N15" i="31"/>
  <c r="H15" i="31"/>
  <c r="J14" i="31"/>
  <c r="J13" i="31"/>
  <c r="J12" i="31"/>
  <c r="J11" i="31"/>
  <c r="J10" i="31"/>
  <c r="J9" i="31"/>
  <c r="J8" i="31"/>
  <c r="R38" i="30"/>
  <c r="P38" i="30"/>
  <c r="N38" i="30"/>
  <c r="H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R18" i="30"/>
  <c r="P18" i="30"/>
  <c r="N18" i="30"/>
  <c r="H18" i="30"/>
  <c r="J17" i="30"/>
  <c r="J18" i="30" s="1"/>
  <c r="R15" i="30"/>
  <c r="P15" i="30"/>
  <c r="N15" i="30"/>
  <c r="H15" i="30"/>
  <c r="J14" i="30"/>
  <c r="J13" i="30"/>
  <c r="J12" i="30"/>
  <c r="J11" i="30"/>
  <c r="J10" i="30"/>
  <c r="J9" i="30"/>
  <c r="J8" i="30"/>
  <c r="R38" i="29"/>
  <c r="P38" i="29"/>
  <c r="N38" i="29"/>
  <c r="H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R18" i="29"/>
  <c r="P18" i="29"/>
  <c r="N18" i="29"/>
  <c r="H18" i="29"/>
  <c r="J17" i="29"/>
  <c r="J18" i="29" s="1"/>
  <c r="R15" i="29"/>
  <c r="P15" i="29"/>
  <c r="N15" i="29"/>
  <c r="H15" i="29"/>
  <c r="J14" i="29"/>
  <c r="J13" i="29"/>
  <c r="J12" i="29"/>
  <c r="J11" i="29"/>
  <c r="J10" i="29"/>
  <c r="J9" i="29"/>
  <c r="J8" i="29"/>
  <c r="R38" i="28"/>
  <c r="P38" i="28"/>
  <c r="N38" i="28"/>
  <c r="H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R18" i="28"/>
  <c r="P18" i="28"/>
  <c r="N18" i="28"/>
  <c r="H18" i="28"/>
  <c r="J17" i="28"/>
  <c r="J18" i="28" s="1"/>
  <c r="R15" i="28"/>
  <c r="P15" i="28"/>
  <c r="N15" i="28"/>
  <c r="H15" i="28"/>
  <c r="J14" i="28"/>
  <c r="J13" i="28"/>
  <c r="J12" i="28"/>
  <c r="J11" i="28"/>
  <c r="J10" i="28"/>
  <c r="J9" i="28"/>
  <c r="J8" i="28"/>
  <c r="R38" i="27"/>
  <c r="P38" i="27"/>
  <c r="N38" i="27"/>
  <c r="H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R18" i="27"/>
  <c r="P18" i="27"/>
  <c r="N18" i="27"/>
  <c r="H18" i="27"/>
  <c r="J17" i="27"/>
  <c r="J18" i="27" s="1"/>
  <c r="R15" i="27"/>
  <c r="P15" i="27"/>
  <c r="N15" i="27"/>
  <c r="H15" i="27"/>
  <c r="J14" i="27"/>
  <c r="J13" i="27"/>
  <c r="J12" i="27"/>
  <c r="J11" i="27"/>
  <c r="J10" i="27"/>
  <c r="J9" i="27"/>
  <c r="J8" i="27"/>
  <c r="R38" i="26"/>
  <c r="P38" i="26"/>
  <c r="N38" i="26"/>
  <c r="H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R18" i="26"/>
  <c r="P18" i="26"/>
  <c r="N18" i="26"/>
  <c r="H18" i="26"/>
  <c r="J17" i="26"/>
  <c r="J18" i="26" s="1"/>
  <c r="R15" i="26"/>
  <c r="P15" i="26"/>
  <c r="N15" i="26"/>
  <c r="H15" i="26"/>
  <c r="J14" i="26"/>
  <c r="J13" i="26"/>
  <c r="J12" i="26"/>
  <c r="J11" i="26"/>
  <c r="J10" i="26"/>
  <c r="J9" i="26"/>
  <c r="J8" i="26"/>
  <c r="R38" i="25"/>
  <c r="P38" i="25"/>
  <c r="N38" i="25"/>
  <c r="H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R18" i="25"/>
  <c r="P18" i="25"/>
  <c r="N18" i="25"/>
  <c r="H18" i="25"/>
  <c r="J17" i="25"/>
  <c r="R15" i="25"/>
  <c r="P15" i="25"/>
  <c r="N15" i="25"/>
  <c r="H15" i="25"/>
  <c r="J14" i="25"/>
  <c r="J13" i="25"/>
  <c r="J12" i="25"/>
  <c r="J11" i="25"/>
  <c r="J10" i="25"/>
  <c r="J9" i="25"/>
  <c r="J8" i="25"/>
  <c r="R38" i="24"/>
  <c r="P38" i="24"/>
  <c r="N38" i="24"/>
  <c r="H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R18" i="24"/>
  <c r="P18" i="24"/>
  <c r="N18" i="24"/>
  <c r="H18" i="24"/>
  <c r="J17" i="24"/>
  <c r="J18" i="24" s="1"/>
  <c r="R15" i="24"/>
  <c r="P15" i="24"/>
  <c r="N15" i="24"/>
  <c r="H15" i="24"/>
  <c r="J14" i="24"/>
  <c r="J13" i="24"/>
  <c r="J12" i="24"/>
  <c r="J11" i="24"/>
  <c r="J10" i="24"/>
  <c r="J9" i="24"/>
  <c r="J8" i="24"/>
  <c r="R38" i="23"/>
  <c r="P38" i="23"/>
  <c r="N38" i="23"/>
  <c r="H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R18" i="23"/>
  <c r="P18" i="23"/>
  <c r="N18" i="23"/>
  <c r="H18" i="23"/>
  <c r="J17" i="23"/>
  <c r="J18" i="23" s="1"/>
  <c r="R15" i="23"/>
  <c r="P15" i="23"/>
  <c r="P39" i="23" s="1"/>
  <c r="N15" i="23"/>
  <c r="H15" i="23"/>
  <c r="J14" i="23"/>
  <c r="J13" i="23"/>
  <c r="J12" i="23"/>
  <c r="J11" i="23"/>
  <c r="J10" i="23"/>
  <c r="J9" i="23"/>
  <c r="J8" i="23"/>
  <c r="R38" i="22"/>
  <c r="P38" i="22"/>
  <c r="N38" i="22"/>
  <c r="H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R18" i="22"/>
  <c r="P18" i="22"/>
  <c r="N18" i="22"/>
  <c r="H18" i="22"/>
  <c r="J17" i="22"/>
  <c r="J18" i="22" s="1"/>
  <c r="R15" i="22"/>
  <c r="P15" i="22"/>
  <c r="N15" i="22"/>
  <c r="H15" i="22"/>
  <c r="J14" i="22"/>
  <c r="J13" i="22"/>
  <c r="J12" i="22"/>
  <c r="J11" i="22"/>
  <c r="J10" i="22"/>
  <c r="J9" i="22"/>
  <c r="J8" i="22"/>
  <c r="R38" i="21"/>
  <c r="P38" i="21"/>
  <c r="N38" i="21"/>
  <c r="H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R18" i="21"/>
  <c r="P18" i="21"/>
  <c r="N18" i="21"/>
  <c r="H18" i="21"/>
  <c r="J17" i="21"/>
  <c r="J18" i="21" s="1"/>
  <c r="R15" i="21"/>
  <c r="P15" i="21"/>
  <c r="N15" i="21"/>
  <c r="H15" i="21"/>
  <c r="J14" i="21"/>
  <c r="J13" i="21"/>
  <c r="J12" i="21"/>
  <c r="J11" i="21"/>
  <c r="J10" i="21"/>
  <c r="J9" i="21"/>
  <c r="J8" i="21"/>
  <c r="R38" i="20"/>
  <c r="P38" i="20"/>
  <c r="N38" i="20"/>
  <c r="H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R18" i="20"/>
  <c r="P18" i="20"/>
  <c r="N18" i="20"/>
  <c r="H18" i="20"/>
  <c r="J17" i="20"/>
  <c r="J18" i="20" s="1"/>
  <c r="R15" i="20"/>
  <c r="P15" i="20"/>
  <c r="N15" i="20"/>
  <c r="H15" i="20"/>
  <c r="J14" i="20"/>
  <c r="J13" i="20"/>
  <c r="J12" i="20"/>
  <c r="J11" i="20"/>
  <c r="J10" i="20"/>
  <c r="J9" i="20"/>
  <c r="J8" i="20"/>
  <c r="R38" i="19"/>
  <c r="P38" i="19"/>
  <c r="N38" i="19"/>
  <c r="H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R18" i="19"/>
  <c r="P18" i="19"/>
  <c r="N18" i="19"/>
  <c r="H18" i="19"/>
  <c r="J17" i="19"/>
  <c r="J18" i="19" s="1"/>
  <c r="R15" i="19"/>
  <c r="P15" i="19"/>
  <c r="N15" i="19"/>
  <c r="H15" i="19"/>
  <c r="J14" i="19"/>
  <c r="J13" i="19"/>
  <c r="J12" i="19"/>
  <c r="J11" i="19"/>
  <c r="J10" i="19"/>
  <c r="J9" i="19"/>
  <c r="J8" i="19"/>
  <c r="R38" i="18"/>
  <c r="P38" i="18"/>
  <c r="N38" i="18"/>
  <c r="H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R18" i="18"/>
  <c r="P18" i="18"/>
  <c r="N18" i="18"/>
  <c r="H18" i="18"/>
  <c r="J17" i="18"/>
  <c r="J18" i="18" s="1"/>
  <c r="R15" i="18"/>
  <c r="P15" i="18"/>
  <c r="N15" i="18"/>
  <c r="H15" i="18"/>
  <c r="J14" i="18"/>
  <c r="J13" i="18"/>
  <c r="J12" i="18"/>
  <c r="J11" i="18"/>
  <c r="J10" i="18"/>
  <c r="J9" i="18"/>
  <c r="J8" i="18"/>
  <c r="R38" i="17"/>
  <c r="P38" i="17"/>
  <c r="N38" i="17"/>
  <c r="H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R18" i="17"/>
  <c r="P18" i="17"/>
  <c r="N18" i="17"/>
  <c r="H18" i="17"/>
  <c r="J17" i="17"/>
  <c r="J18" i="17" s="1"/>
  <c r="R15" i="17"/>
  <c r="P15" i="17"/>
  <c r="N15" i="17"/>
  <c r="H15" i="17"/>
  <c r="H39" i="17" s="1"/>
  <c r="J14" i="17"/>
  <c r="J13" i="17"/>
  <c r="J12" i="17"/>
  <c r="J11" i="17"/>
  <c r="J10" i="17"/>
  <c r="J9" i="17"/>
  <c r="J8" i="17"/>
  <c r="R38" i="16"/>
  <c r="P38" i="16"/>
  <c r="N38" i="16"/>
  <c r="H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R18" i="16"/>
  <c r="P18" i="16"/>
  <c r="N18" i="16"/>
  <c r="H18" i="16"/>
  <c r="J17" i="16"/>
  <c r="J18" i="16" s="1"/>
  <c r="R15" i="16"/>
  <c r="P15" i="16"/>
  <c r="N15" i="16"/>
  <c r="H15" i="16"/>
  <c r="J14" i="16"/>
  <c r="J13" i="16"/>
  <c r="J12" i="16"/>
  <c r="J11" i="16"/>
  <c r="J10" i="16"/>
  <c r="J9" i="16"/>
  <c r="J8" i="16"/>
  <c r="R38" i="15"/>
  <c r="P38" i="15"/>
  <c r="N38" i="15"/>
  <c r="H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R18" i="15"/>
  <c r="P18" i="15"/>
  <c r="N18" i="15"/>
  <c r="H18" i="15"/>
  <c r="J17" i="15"/>
  <c r="J18" i="15" s="1"/>
  <c r="R15" i="15"/>
  <c r="P15" i="15"/>
  <c r="N15" i="15"/>
  <c r="H15" i="15"/>
  <c r="J14" i="15"/>
  <c r="J13" i="15"/>
  <c r="J12" i="15"/>
  <c r="J11" i="15"/>
  <c r="J10" i="15"/>
  <c r="J9" i="15"/>
  <c r="J8" i="15"/>
  <c r="R38" i="14"/>
  <c r="P38" i="14"/>
  <c r="N38" i="14"/>
  <c r="H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P18" i="14"/>
  <c r="N18" i="14"/>
  <c r="H18" i="14"/>
  <c r="J17" i="14"/>
  <c r="R15" i="14"/>
  <c r="P15" i="14"/>
  <c r="N15" i="14"/>
  <c r="H15" i="14"/>
  <c r="J14" i="14"/>
  <c r="J13" i="14"/>
  <c r="J12" i="14"/>
  <c r="J11" i="14"/>
  <c r="J10" i="14"/>
  <c r="J9" i="14"/>
  <c r="J8" i="14"/>
  <c r="R38" i="13"/>
  <c r="P38" i="13"/>
  <c r="N38" i="13"/>
  <c r="H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R18" i="13"/>
  <c r="P18" i="13"/>
  <c r="N18" i="13"/>
  <c r="H18" i="13"/>
  <c r="J17" i="13"/>
  <c r="J18" i="13" s="1"/>
  <c r="R15" i="13"/>
  <c r="P15" i="13"/>
  <c r="N15" i="13"/>
  <c r="H15" i="13"/>
  <c r="J14" i="13"/>
  <c r="J13" i="13"/>
  <c r="J12" i="13"/>
  <c r="J11" i="13"/>
  <c r="J10" i="13"/>
  <c r="J9" i="13"/>
  <c r="J8" i="13"/>
  <c r="R38" i="12"/>
  <c r="P38" i="12"/>
  <c r="N38" i="12"/>
  <c r="H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R18" i="12"/>
  <c r="P18" i="12"/>
  <c r="N18" i="12"/>
  <c r="H18" i="12"/>
  <c r="J17" i="12"/>
  <c r="J18" i="12" s="1"/>
  <c r="R15" i="12"/>
  <c r="P15" i="12"/>
  <c r="N15" i="12"/>
  <c r="H15" i="12"/>
  <c r="H39" i="12" s="1"/>
  <c r="J14" i="12"/>
  <c r="J13" i="12"/>
  <c r="J12" i="12"/>
  <c r="J11" i="12"/>
  <c r="J10" i="12"/>
  <c r="J9" i="12"/>
  <c r="J8" i="12"/>
  <c r="R38" i="11"/>
  <c r="P38" i="11"/>
  <c r="N38" i="11"/>
  <c r="H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R18" i="11"/>
  <c r="P18" i="11"/>
  <c r="N18" i="11"/>
  <c r="H18" i="11"/>
  <c r="J17" i="11"/>
  <c r="J18" i="11" s="1"/>
  <c r="R15" i="11"/>
  <c r="P15" i="11"/>
  <c r="N15" i="11"/>
  <c r="H15" i="11"/>
  <c r="J14" i="11"/>
  <c r="J13" i="11"/>
  <c r="J12" i="11"/>
  <c r="J11" i="11"/>
  <c r="J10" i="11"/>
  <c r="J9" i="11"/>
  <c r="J8" i="11"/>
  <c r="R38" i="10"/>
  <c r="P38" i="10"/>
  <c r="N38" i="10"/>
  <c r="H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R18" i="10"/>
  <c r="P18" i="10"/>
  <c r="N18" i="10"/>
  <c r="H18" i="10"/>
  <c r="J17" i="10"/>
  <c r="J18" i="10" s="1"/>
  <c r="R15" i="10"/>
  <c r="P15" i="10"/>
  <c r="N15" i="10"/>
  <c r="H15" i="10"/>
  <c r="J14" i="10"/>
  <c r="J13" i="10"/>
  <c r="J12" i="10"/>
  <c r="J11" i="10"/>
  <c r="J10" i="10"/>
  <c r="J9" i="10"/>
  <c r="J8" i="10"/>
  <c r="R38" i="9"/>
  <c r="P38" i="9"/>
  <c r="N38" i="9"/>
  <c r="H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R18" i="9"/>
  <c r="P18" i="9"/>
  <c r="N18" i="9"/>
  <c r="H18" i="9"/>
  <c r="J17" i="9"/>
  <c r="R15" i="9"/>
  <c r="P15" i="9"/>
  <c r="N15" i="9"/>
  <c r="H15" i="9"/>
  <c r="J14" i="9"/>
  <c r="J13" i="9"/>
  <c r="J12" i="9"/>
  <c r="J11" i="9"/>
  <c r="J10" i="9"/>
  <c r="J9" i="9"/>
  <c r="J8" i="9"/>
  <c r="R38" i="8"/>
  <c r="P38" i="8"/>
  <c r="N38" i="8"/>
  <c r="H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R18" i="8"/>
  <c r="P18" i="8"/>
  <c r="N18" i="8"/>
  <c r="H18" i="8"/>
  <c r="J17" i="8"/>
  <c r="J18" i="8" s="1"/>
  <c r="P15" i="8"/>
  <c r="N15" i="8"/>
  <c r="H15" i="8"/>
  <c r="J14" i="8"/>
  <c r="J13" i="8"/>
  <c r="J12" i="8"/>
  <c r="J11" i="8"/>
  <c r="J10" i="8"/>
  <c r="J9" i="8"/>
  <c r="J8" i="8"/>
  <c r="R38" i="7"/>
  <c r="P38" i="7"/>
  <c r="N38" i="7"/>
  <c r="H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R18" i="7"/>
  <c r="P18" i="7"/>
  <c r="N18" i="7"/>
  <c r="H18" i="7"/>
  <c r="J17" i="7"/>
  <c r="J18" i="7" s="1"/>
  <c r="R15" i="7"/>
  <c r="P15" i="7"/>
  <c r="N15" i="7"/>
  <c r="H15" i="7"/>
  <c r="J14" i="7"/>
  <c r="J13" i="7"/>
  <c r="J12" i="7"/>
  <c r="J11" i="7"/>
  <c r="J10" i="7"/>
  <c r="J9" i="7"/>
  <c r="J8" i="7"/>
  <c r="R38" i="6"/>
  <c r="P38" i="6"/>
  <c r="N38" i="6"/>
  <c r="H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R18" i="6"/>
  <c r="P18" i="6"/>
  <c r="N18" i="6"/>
  <c r="H18" i="6"/>
  <c r="J17" i="6"/>
  <c r="J18" i="6" s="1"/>
  <c r="R15" i="6"/>
  <c r="P15" i="6"/>
  <c r="N15" i="6"/>
  <c r="H15" i="6"/>
  <c r="J14" i="6"/>
  <c r="J13" i="6"/>
  <c r="J12" i="6"/>
  <c r="J11" i="6"/>
  <c r="J10" i="6"/>
  <c r="J9" i="6"/>
  <c r="J8" i="6"/>
  <c r="R38" i="5"/>
  <c r="P38" i="5"/>
  <c r="N38" i="5"/>
  <c r="H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R18" i="5"/>
  <c r="P18" i="5"/>
  <c r="N18" i="5"/>
  <c r="H18" i="5"/>
  <c r="J17" i="5"/>
  <c r="J18" i="5" s="1"/>
  <c r="R15" i="5"/>
  <c r="P15" i="5"/>
  <c r="N15" i="5"/>
  <c r="H15" i="5"/>
  <c r="J14" i="5"/>
  <c r="J13" i="5"/>
  <c r="J12" i="5"/>
  <c r="J11" i="5"/>
  <c r="J10" i="5"/>
  <c r="J9" i="5"/>
  <c r="J8" i="5"/>
  <c r="R38" i="4"/>
  <c r="P38" i="4"/>
  <c r="N38" i="4"/>
  <c r="H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R18" i="4"/>
  <c r="P18" i="4"/>
  <c r="N18" i="4"/>
  <c r="H18" i="4"/>
  <c r="J17" i="4"/>
  <c r="J18" i="4" s="1"/>
  <c r="R15" i="4"/>
  <c r="P15" i="4"/>
  <c r="N15" i="4"/>
  <c r="H15" i="4"/>
  <c r="J14" i="4"/>
  <c r="J13" i="4"/>
  <c r="J12" i="4"/>
  <c r="J11" i="4"/>
  <c r="J10" i="4"/>
  <c r="J9" i="4"/>
  <c r="J8" i="4"/>
  <c r="R38" i="3"/>
  <c r="P38" i="3"/>
  <c r="N38" i="3"/>
  <c r="H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R18" i="3"/>
  <c r="P18" i="3"/>
  <c r="N18" i="3"/>
  <c r="H18" i="3"/>
  <c r="J17" i="3"/>
  <c r="J18" i="3" s="1"/>
  <c r="R15" i="3"/>
  <c r="P15" i="3"/>
  <c r="N15" i="3"/>
  <c r="H15" i="3"/>
  <c r="J14" i="3"/>
  <c r="J13" i="3"/>
  <c r="J12" i="3"/>
  <c r="J11" i="3"/>
  <c r="J10" i="3"/>
  <c r="J9" i="3"/>
  <c r="J8" i="3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7" i="2"/>
  <c r="J10" i="2"/>
  <c r="J11" i="2"/>
  <c r="J12" i="2"/>
  <c r="J13" i="2"/>
  <c r="J14" i="2"/>
  <c r="J9" i="2"/>
  <c r="J8" i="2"/>
  <c r="J14" i="1"/>
  <c r="J13" i="1"/>
  <c r="J12" i="1"/>
  <c r="J11" i="1"/>
  <c r="J10" i="1"/>
  <c r="J9" i="1"/>
  <c r="J8" i="1"/>
  <c r="AA8" i="6" l="1"/>
  <c r="AA20" i="5"/>
  <c r="AB8" i="10"/>
  <c r="AB20" i="9"/>
  <c r="AB16" i="19"/>
  <c r="N39" i="5"/>
  <c r="R39" i="13"/>
  <c r="N39" i="26"/>
  <c r="N39" i="6"/>
  <c r="N39" i="27"/>
  <c r="R39" i="29"/>
  <c r="N39" i="30"/>
  <c r="H39" i="28"/>
  <c r="R39" i="21"/>
  <c r="H39" i="25"/>
  <c r="N39" i="15"/>
  <c r="N39" i="18"/>
  <c r="N39" i="24"/>
  <c r="R39" i="5"/>
  <c r="N39" i="7"/>
  <c r="R39" i="8"/>
  <c r="R39" i="17"/>
  <c r="N39" i="19"/>
  <c r="J15" i="27"/>
  <c r="H39" i="5"/>
  <c r="H39" i="11"/>
  <c r="J15" i="7"/>
  <c r="P39" i="19"/>
  <c r="R39" i="22"/>
  <c r="J15" i="23"/>
  <c r="H39" i="24"/>
  <c r="P39" i="25"/>
  <c r="P39" i="31"/>
  <c r="N39" i="12"/>
  <c r="H39" i="29"/>
  <c r="R39" i="9"/>
  <c r="J15" i="11"/>
  <c r="P39" i="11"/>
  <c r="R39" i="14"/>
  <c r="J15" i="16"/>
  <c r="P39" i="20"/>
  <c r="P39" i="21"/>
  <c r="J15" i="25"/>
  <c r="J18" i="25"/>
  <c r="J15" i="28"/>
  <c r="P39" i="4"/>
  <c r="H39" i="6"/>
  <c r="J15" i="8"/>
  <c r="P39" i="8"/>
  <c r="H39" i="9"/>
  <c r="J15" i="10"/>
  <c r="H39" i="14"/>
  <c r="J15" i="15"/>
  <c r="P39" i="16"/>
  <c r="P39" i="18"/>
  <c r="J15" i="20"/>
  <c r="J15" i="21"/>
  <c r="J15" i="22"/>
  <c r="H39" i="22"/>
  <c r="N39" i="23"/>
  <c r="R39" i="24"/>
  <c r="H39" i="26"/>
  <c r="J15" i="5"/>
  <c r="R39" i="6"/>
  <c r="H39" i="7"/>
  <c r="J15" i="9"/>
  <c r="J18" i="9"/>
  <c r="H39" i="10"/>
  <c r="N39" i="11"/>
  <c r="J15" i="12"/>
  <c r="J15" i="14"/>
  <c r="J18" i="14"/>
  <c r="H39" i="15"/>
  <c r="J15" i="17"/>
  <c r="P39" i="17"/>
  <c r="N39" i="20"/>
  <c r="R39" i="26"/>
  <c r="H39" i="27"/>
  <c r="H39" i="30"/>
  <c r="J15" i="31"/>
  <c r="J15" i="4"/>
  <c r="N39" i="4"/>
  <c r="P39" i="5"/>
  <c r="R39" i="7"/>
  <c r="H39" i="8"/>
  <c r="R39" i="10"/>
  <c r="J38" i="11"/>
  <c r="J15" i="13"/>
  <c r="N39" i="13"/>
  <c r="R39" i="15"/>
  <c r="H39" i="20"/>
  <c r="J15" i="24"/>
  <c r="P39" i="26"/>
  <c r="R39" i="27"/>
  <c r="P39" i="28"/>
  <c r="R39" i="30"/>
  <c r="H39" i="31"/>
  <c r="J15" i="3"/>
  <c r="H39" i="3"/>
  <c r="H39" i="4"/>
  <c r="J38" i="4"/>
  <c r="J15" i="6"/>
  <c r="P39" i="9"/>
  <c r="P39" i="12"/>
  <c r="H39" i="13"/>
  <c r="N39" i="17"/>
  <c r="J15" i="18"/>
  <c r="H39" i="21"/>
  <c r="P39" i="22"/>
  <c r="R39" i="25"/>
  <c r="J15" i="26"/>
  <c r="R39" i="28"/>
  <c r="J15" i="29"/>
  <c r="P39" i="29"/>
  <c r="R39" i="31"/>
  <c r="J15" i="30"/>
  <c r="N39" i="3"/>
  <c r="P39" i="7"/>
  <c r="R39" i="3"/>
  <c r="R39" i="4"/>
  <c r="N39" i="8"/>
  <c r="P39" i="3"/>
  <c r="J38" i="12"/>
  <c r="P39" i="6"/>
  <c r="N39" i="9"/>
  <c r="P39" i="10"/>
  <c r="N39" i="10"/>
  <c r="R39" i="11"/>
  <c r="J38" i="6"/>
  <c r="J38" i="9"/>
  <c r="J38" i="10"/>
  <c r="R39" i="12"/>
  <c r="P39" i="13"/>
  <c r="N39" i="14"/>
  <c r="P39" i="14"/>
  <c r="P39" i="15"/>
  <c r="N39" i="16"/>
  <c r="R39" i="16"/>
  <c r="J38" i="17"/>
  <c r="H39" i="16"/>
  <c r="J38" i="14"/>
  <c r="J38" i="15"/>
  <c r="N39" i="21"/>
  <c r="H39" i="18"/>
  <c r="R39" i="19"/>
  <c r="R39" i="20"/>
  <c r="N39" i="22"/>
  <c r="R39" i="18"/>
  <c r="H39" i="19"/>
  <c r="H39" i="23"/>
  <c r="R39" i="23"/>
  <c r="P39" i="24"/>
  <c r="N39" i="25"/>
  <c r="P39" i="27"/>
  <c r="P39" i="30"/>
  <c r="N39" i="31"/>
  <c r="J38" i="31"/>
  <c r="J38" i="24"/>
  <c r="J38" i="26"/>
  <c r="N39" i="29"/>
  <c r="N39" i="28"/>
  <c r="J38" i="30"/>
  <c r="J38" i="29"/>
  <c r="J39" i="29" s="1"/>
  <c r="J38" i="28"/>
  <c r="J38" i="27"/>
  <c r="J38" i="25"/>
  <c r="J38" i="23"/>
  <c r="J39" i="23" s="1"/>
  <c r="J38" i="22"/>
  <c r="J39" i="22" s="1"/>
  <c r="J38" i="21"/>
  <c r="J38" i="20"/>
  <c r="J39" i="20" s="1"/>
  <c r="J38" i="19"/>
  <c r="J15" i="19"/>
  <c r="J38" i="18"/>
  <c r="J39" i="18"/>
  <c r="J39" i="17"/>
  <c r="J38" i="16"/>
  <c r="J39" i="16" s="1"/>
  <c r="J38" i="13"/>
  <c r="J39" i="11"/>
  <c r="J38" i="8"/>
  <c r="J39" i="8" s="1"/>
  <c r="J38" i="7"/>
  <c r="J39" i="7" s="1"/>
  <c r="J38" i="5"/>
  <c r="J39" i="5" s="1"/>
  <c r="J39" i="4"/>
  <c r="J38" i="3"/>
  <c r="J39" i="3" s="1"/>
  <c r="AB8" i="11" l="1"/>
  <c r="AB20" i="10"/>
  <c r="AA8" i="7"/>
  <c r="AA20" i="6"/>
  <c r="AB16" i="20"/>
  <c r="J39" i="30"/>
  <c r="J39" i="15"/>
  <c r="J39" i="13"/>
  <c r="J39" i="27"/>
  <c r="J39" i="14"/>
  <c r="J39" i="6"/>
  <c r="J39" i="31"/>
  <c r="J39" i="26"/>
  <c r="J39" i="25"/>
  <c r="J39" i="24"/>
  <c r="J39" i="21"/>
  <c r="J39" i="12"/>
  <c r="J39" i="9"/>
  <c r="J39" i="10"/>
  <c r="J39" i="19"/>
  <c r="J39" i="28"/>
  <c r="J17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9" i="32"/>
  <c r="A10" i="32" s="1"/>
  <c r="A11" i="32" s="1"/>
  <c r="A12" i="32" s="1"/>
  <c r="A13" i="32" s="1"/>
  <c r="A14" i="32" s="1"/>
  <c r="A17" i="32" s="1"/>
  <c r="A20" i="3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9" i="31"/>
  <c r="A10" i="31" s="1"/>
  <c r="A11" i="31" s="1"/>
  <c r="A12" i="31" s="1"/>
  <c r="A13" i="31" s="1"/>
  <c r="A14" i="31" s="1"/>
  <c r="A17" i="31" s="1"/>
  <c r="A20" i="30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9" i="30"/>
  <c r="A10" i="30" s="1"/>
  <c r="A11" i="30" s="1"/>
  <c r="A12" i="30" s="1"/>
  <c r="A13" i="30" s="1"/>
  <c r="A14" i="30" s="1"/>
  <c r="A17" i="30" s="1"/>
  <c r="A20" i="29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9" i="29"/>
  <c r="A10" i="29" s="1"/>
  <c r="A11" i="29" s="1"/>
  <c r="A12" i="29" s="1"/>
  <c r="A13" i="29" s="1"/>
  <c r="A14" i="29" s="1"/>
  <c r="A17" i="29" s="1"/>
  <c r="A20" i="28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9" i="28"/>
  <c r="A10" i="28" s="1"/>
  <c r="A11" i="28" s="1"/>
  <c r="A12" i="28" s="1"/>
  <c r="A13" i="28" s="1"/>
  <c r="A14" i="28" s="1"/>
  <c r="A17" i="28" s="1"/>
  <c r="A20" i="27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9" i="27"/>
  <c r="A10" i="27" s="1"/>
  <c r="A11" i="27" s="1"/>
  <c r="A12" i="27" s="1"/>
  <c r="A13" i="27" s="1"/>
  <c r="A14" i="27" s="1"/>
  <c r="A17" i="27" s="1"/>
  <c r="A20" i="26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9" i="26"/>
  <c r="A10" i="26" s="1"/>
  <c r="A11" i="26" s="1"/>
  <c r="A12" i="26" s="1"/>
  <c r="A13" i="26" s="1"/>
  <c r="A14" i="26" s="1"/>
  <c r="A17" i="26" s="1"/>
  <c r="A20" i="25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9" i="25"/>
  <c r="A10" i="25" s="1"/>
  <c r="A11" i="25" s="1"/>
  <c r="A12" i="25" s="1"/>
  <c r="A13" i="25" s="1"/>
  <c r="A14" i="25" s="1"/>
  <c r="A17" i="25" s="1"/>
  <c r="A20" i="24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9" i="24"/>
  <c r="A10" i="24" s="1"/>
  <c r="A11" i="24" s="1"/>
  <c r="A12" i="24" s="1"/>
  <c r="A13" i="24" s="1"/>
  <c r="A14" i="24" s="1"/>
  <c r="A17" i="24" s="1"/>
  <c r="A20" i="23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9" i="23"/>
  <c r="A10" i="23" s="1"/>
  <c r="A11" i="23" s="1"/>
  <c r="A12" i="23" s="1"/>
  <c r="A13" i="23" s="1"/>
  <c r="A14" i="23" s="1"/>
  <c r="A17" i="23" s="1"/>
  <c r="A20" i="22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9" i="22"/>
  <c r="A10" i="22" s="1"/>
  <c r="A11" i="22" s="1"/>
  <c r="A12" i="22" s="1"/>
  <c r="A13" i="22" s="1"/>
  <c r="A14" i="22" s="1"/>
  <c r="A17" i="22" s="1"/>
  <c r="A20" i="2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9" i="21"/>
  <c r="A10" i="21" s="1"/>
  <c r="A11" i="21" s="1"/>
  <c r="A12" i="21" s="1"/>
  <c r="A13" i="21" s="1"/>
  <c r="A14" i="21" s="1"/>
  <c r="A17" i="21" s="1"/>
  <c r="A20" i="20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9" i="20"/>
  <c r="A10" i="20" s="1"/>
  <c r="A11" i="20" s="1"/>
  <c r="A12" i="20" s="1"/>
  <c r="A13" i="20" s="1"/>
  <c r="A14" i="20" s="1"/>
  <c r="A17" i="20" s="1"/>
  <c r="A20" i="19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9" i="19"/>
  <c r="A10" i="19" s="1"/>
  <c r="A11" i="19" s="1"/>
  <c r="A12" i="19" s="1"/>
  <c r="A13" i="19" s="1"/>
  <c r="A14" i="19" s="1"/>
  <c r="A17" i="19" s="1"/>
  <c r="A20" i="18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9" i="18"/>
  <c r="A10" i="18" s="1"/>
  <c r="A11" i="18" s="1"/>
  <c r="A12" i="18" s="1"/>
  <c r="A13" i="18" s="1"/>
  <c r="A14" i="18" s="1"/>
  <c r="A17" i="18" s="1"/>
  <c r="A20" i="17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9" i="17"/>
  <c r="A10" i="17" s="1"/>
  <c r="A11" i="17" s="1"/>
  <c r="A12" i="17" s="1"/>
  <c r="A13" i="17" s="1"/>
  <c r="A14" i="17" s="1"/>
  <c r="A17" i="17" s="1"/>
  <c r="A20" i="16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9" i="16"/>
  <c r="A10" i="16" s="1"/>
  <c r="A11" i="16" s="1"/>
  <c r="A12" i="16" s="1"/>
  <c r="A13" i="16" s="1"/>
  <c r="A14" i="16" s="1"/>
  <c r="A17" i="16" s="1"/>
  <c r="A20" i="15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9" i="15"/>
  <c r="A10" i="15" s="1"/>
  <c r="A11" i="15" s="1"/>
  <c r="A12" i="15" s="1"/>
  <c r="A13" i="15" s="1"/>
  <c r="A14" i="15" s="1"/>
  <c r="A17" i="15" s="1"/>
  <c r="A20" i="14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9" i="14"/>
  <c r="A10" i="14" s="1"/>
  <c r="A11" i="14" s="1"/>
  <c r="A12" i="14" s="1"/>
  <c r="A13" i="14" s="1"/>
  <c r="A14" i="14" s="1"/>
  <c r="A17" i="14" s="1"/>
  <c r="A20" i="13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9" i="13"/>
  <c r="A10" i="13" s="1"/>
  <c r="A11" i="13" s="1"/>
  <c r="A12" i="13" s="1"/>
  <c r="A13" i="13" s="1"/>
  <c r="A14" i="13" s="1"/>
  <c r="A17" i="13" s="1"/>
  <c r="A20" i="12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9" i="12"/>
  <c r="A10" i="12" s="1"/>
  <c r="A11" i="12" s="1"/>
  <c r="A12" i="12" s="1"/>
  <c r="A13" i="12" s="1"/>
  <c r="A14" i="12" s="1"/>
  <c r="A17" i="12" s="1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9" i="11"/>
  <c r="A10" i="11" s="1"/>
  <c r="A11" i="11" s="1"/>
  <c r="A12" i="11" s="1"/>
  <c r="A13" i="11" s="1"/>
  <c r="A14" i="11" s="1"/>
  <c r="A17" i="11" s="1"/>
  <c r="A20" i="10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9" i="10"/>
  <c r="A10" i="10" s="1"/>
  <c r="A11" i="10" s="1"/>
  <c r="A12" i="10" s="1"/>
  <c r="A13" i="10" s="1"/>
  <c r="A14" i="10" s="1"/>
  <c r="A17" i="10" s="1"/>
  <c r="A20" i="9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9" i="9"/>
  <c r="A10" i="9" s="1"/>
  <c r="A11" i="9" s="1"/>
  <c r="A12" i="9" s="1"/>
  <c r="A13" i="9" s="1"/>
  <c r="A14" i="9" s="1"/>
  <c r="A17" i="9" s="1"/>
  <c r="A20" i="8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9" i="8"/>
  <c r="A10" i="8" s="1"/>
  <c r="A11" i="8" s="1"/>
  <c r="A12" i="8" s="1"/>
  <c r="A13" i="8" s="1"/>
  <c r="A14" i="8" s="1"/>
  <c r="A17" i="8" s="1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9" i="7"/>
  <c r="A10" i="7" s="1"/>
  <c r="A11" i="7" s="1"/>
  <c r="A12" i="7" s="1"/>
  <c r="A13" i="7" s="1"/>
  <c r="A14" i="7" s="1"/>
  <c r="A17" i="7" s="1"/>
  <c r="A20" i="6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9" i="6"/>
  <c r="A10" i="6" s="1"/>
  <c r="A11" i="6" s="1"/>
  <c r="A12" i="6" s="1"/>
  <c r="A13" i="6" s="1"/>
  <c r="A14" i="6" s="1"/>
  <c r="A17" i="6" s="1"/>
  <c r="A20" i="5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9" i="5"/>
  <c r="A10" i="5" s="1"/>
  <c r="A11" i="5" s="1"/>
  <c r="A12" i="5" s="1"/>
  <c r="A13" i="5" s="1"/>
  <c r="A14" i="5" s="1"/>
  <c r="A17" i="5" s="1"/>
  <c r="A20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9" i="4"/>
  <c r="A10" i="4" s="1"/>
  <c r="A11" i="4" s="1"/>
  <c r="A12" i="4" s="1"/>
  <c r="A13" i="4" s="1"/>
  <c r="A14" i="4" s="1"/>
  <c r="A17" i="4" s="1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9" i="3"/>
  <c r="A10" i="3" s="1"/>
  <c r="A11" i="3" s="1"/>
  <c r="A12" i="3" s="1"/>
  <c r="A13" i="3" s="1"/>
  <c r="A14" i="3" s="1"/>
  <c r="A17" i="3" s="1"/>
  <c r="T4" i="2"/>
  <c r="R38" i="2"/>
  <c r="P38" i="2"/>
  <c r="N38" i="2"/>
  <c r="H38" i="2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R18" i="2"/>
  <c r="P18" i="2"/>
  <c r="N18" i="2"/>
  <c r="H18" i="2"/>
  <c r="J18" i="2"/>
  <c r="R15" i="2"/>
  <c r="P15" i="2"/>
  <c r="N15" i="2"/>
  <c r="H15" i="2"/>
  <c r="A9" i="2"/>
  <c r="A10" i="2" s="1"/>
  <c r="A11" i="2" s="1"/>
  <c r="A12" i="2" s="1"/>
  <c r="A13" i="2" s="1"/>
  <c r="A14" i="2" s="1"/>
  <c r="A17" i="2" s="1"/>
  <c r="K27" i="1"/>
  <c r="K28" i="1"/>
  <c r="K29" i="1"/>
  <c r="K30" i="1"/>
  <c r="K31" i="1"/>
  <c r="K32" i="1"/>
  <c r="K33" i="1"/>
  <c r="T33" i="1" s="1"/>
  <c r="K34" i="1"/>
  <c r="K35" i="1"/>
  <c r="K36" i="1"/>
  <c r="K37" i="1"/>
  <c r="K26" i="1"/>
  <c r="K25" i="1"/>
  <c r="T25" i="1" s="1"/>
  <c r="K24" i="1"/>
  <c r="K23" i="1"/>
  <c r="K22" i="1"/>
  <c r="K21" i="1"/>
  <c r="K20" i="1"/>
  <c r="K17" i="1"/>
  <c r="T17" i="1" s="1"/>
  <c r="K14" i="1"/>
  <c r="T14" i="1" s="1"/>
  <c r="K13" i="1"/>
  <c r="T13" i="1" s="1"/>
  <c r="E13" i="2" s="1"/>
  <c r="K12" i="1"/>
  <c r="T12" i="1" s="1"/>
  <c r="E12" i="2" s="1"/>
  <c r="K11" i="1"/>
  <c r="T11" i="1" s="1"/>
  <c r="K10" i="1"/>
  <c r="T10" i="1" s="1"/>
  <c r="K9" i="1"/>
  <c r="T9" i="1" s="1"/>
  <c r="K8" i="1"/>
  <c r="J1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7" i="1"/>
  <c r="G18" i="1" s="1"/>
  <c r="G14" i="1"/>
  <c r="G13" i="1"/>
  <c r="G12" i="1"/>
  <c r="G11" i="1"/>
  <c r="G10" i="1"/>
  <c r="G9" i="1"/>
  <c r="G8" i="1"/>
  <c r="R38" i="1"/>
  <c r="P38" i="1"/>
  <c r="N38" i="1"/>
  <c r="H38" i="1"/>
  <c r="T18" i="1"/>
  <c r="R18" i="1"/>
  <c r="P18" i="1"/>
  <c r="N18" i="1"/>
  <c r="H18" i="1"/>
  <c r="E18" i="1"/>
  <c r="R15" i="1"/>
  <c r="P15" i="1"/>
  <c r="N15" i="1"/>
  <c r="H15" i="1"/>
  <c r="E15" i="1"/>
  <c r="AA8" i="8" l="1"/>
  <c r="AA20" i="7"/>
  <c r="AB8" i="12"/>
  <c r="AB20" i="11"/>
  <c r="AB16" i="21"/>
  <c r="AB16" i="22" s="1"/>
  <c r="AB16" i="23" s="1"/>
  <c r="AB16" i="24" s="1"/>
  <c r="AB16" i="25" s="1"/>
  <c r="AB16" i="26" s="1"/>
  <c r="AB16" i="27" s="1"/>
  <c r="AB16" i="28" s="1"/>
  <c r="AB16" i="29" s="1"/>
  <c r="AB16" i="30" s="1"/>
  <c r="AB16" i="31" s="1"/>
  <c r="E17" i="2"/>
  <c r="T8" i="1"/>
  <c r="T30" i="1"/>
  <c r="L30" i="1"/>
  <c r="O30" i="1" s="1"/>
  <c r="T23" i="1"/>
  <c r="L23" i="1"/>
  <c r="O23" i="1" s="1"/>
  <c r="E14" i="2"/>
  <c r="K14" i="2" s="1"/>
  <c r="T24" i="1"/>
  <c r="L24" i="1"/>
  <c r="O24" i="1" s="1"/>
  <c r="T34" i="1"/>
  <c r="L34" i="1"/>
  <c r="O34" i="1" s="1"/>
  <c r="T28" i="1"/>
  <c r="L28" i="1"/>
  <c r="O28" i="1" s="1"/>
  <c r="T36" i="1"/>
  <c r="L36" i="1"/>
  <c r="O36" i="1" s="1"/>
  <c r="E33" i="2"/>
  <c r="U33" i="1"/>
  <c r="L25" i="1"/>
  <c r="O25" i="1" s="1"/>
  <c r="T22" i="1"/>
  <c r="L22" i="1"/>
  <c r="O22" i="1" s="1"/>
  <c r="T29" i="1"/>
  <c r="L29" i="1"/>
  <c r="O29" i="1" s="1"/>
  <c r="K18" i="1"/>
  <c r="T27" i="1"/>
  <c r="L27" i="1"/>
  <c r="O27" i="1" s="1"/>
  <c r="T20" i="1"/>
  <c r="T26" i="1"/>
  <c r="L26" i="1"/>
  <c r="O26" i="1" s="1"/>
  <c r="T32" i="1"/>
  <c r="L32" i="1"/>
  <c r="O32" i="1" s="1"/>
  <c r="L33" i="1"/>
  <c r="O33" i="1" s="1"/>
  <c r="T35" i="1"/>
  <c r="L35" i="1"/>
  <c r="O35" i="1" s="1"/>
  <c r="E25" i="2"/>
  <c r="K25" i="2" s="1"/>
  <c r="L25" i="2" s="1"/>
  <c r="O25" i="2" s="1"/>
  <c r="U25" i="1"/>
  <c r="T21" i="1"/>
  <c r="T37" i="1"/>
  <c r="L37" i="1"/>
  <c r="O37" i="1" s="1"/>
  <c r="T31" i="1"/>
  <c r="L31" i="1"/>
  <c r="O31" i="1" s="1"/>
  <c r="T4" i="3"/>
  <c r="T4" i="4" s="1"/>
  <c r="T4" i="5" s="1"/>
  <c r="T4" i="6" s="1"/>
  <c r="T4" i="7" s="1"/>
  <c r="T4" i="8" s="1"/>
  <c r="T4" i="9" s="1"/>
  <c r="T4" i="10" s="1"/>
  <c r="T4" i="11" s="1"/>
  <c r="T4" i="12" s="1"/>
  <c r="T4" i="13" s="1"/>
  <c r="T4" i="14" s="1"/>
  <c r="T4" i="15" s="1"/>
  <c r="T4" i="16" s="1"/>
  <c r="T4" i="17" s="1"/>
  <c r="T4" i="18" s="1"/>
  <c r="T4" i="19" s="1"/>
  <c r="T4" i="20" s="1"/>
  <c r="T4" i="21" s="1"/>
  <c r="T4" i="22" s="1"/>
  <c r="T4" i="23" s="1"/>
  <c r="T4" i="24" s="1"/>
  <c r="T4" i="25" s="1"/>
  <c r="T4" i="26" s="1"/>
  <c r="T4" i="27" s="1"/>
  <c r="T4" i="28" s="1"/>
  <c r="T4" i="29" s="1"/>
  <c r="T4" i="30" s="1"/>
  <c r="T4" i="31" s="1"/>
  <c r="E10" i="2"/>
  <c r="E9" i="2"/>
  <c r="E11" i="2"/>
  <c r="K33" i="2"/>
  <c r="K17" i="2"/>
  <c r="T17" i="2" s="1"/>
  <c r="E18" i="2"/>
  <c r="K12" i="2"/>
  <c r="N39" i="2"/>
  <c r="R39" i="2"/>
  <c r="P39" i="2"/>
  <c r="H39" i="2"/>
  <c r="J38" i="2"/>
  <c r="J15" i="2"/>
  <c r="T15" i="1"/>
  <c r="P39" i="1"/>
  <c r="R39" i="1"/>
  <c r="N39" i="1"/>
  <c r="H39" i="1"/>
  <c r="E39" i="1"/>
  <c r="M30" i="1"/>
  <c r="M27" i="1"/>
  <c r="M33" i="1"/>
  <c r="M36" i="1"/>
  <c r="M23" i="1"/>
  <c r="M21" i="1"/>
  <c r="L21" i="1" s="1"/>
  <c r="O21" i="1" s="1"/>
  <c r="M37" i="1"/>
  <c r="M31" i="1"/>
  <c r="M29" i="1"/>
  <c r="M35" i="1"/>
  <c r="M22" i="1"/>
  <c r="M24" i="1"/>
  <c r="M34" i="1"/>
  <c r="M28" i="1"/>
  <c r="M32" i="1"/>
  <c r="M25" i="1"/>
  <c r="M20" i="1"/>
  <c r="L20" i="1" s="1"/>
  <c r="M26" i="1"/>
  <c r="K38" i="1"/>
  <c r="K15" i="1"/>
  <c r="M14" i="1"/>
  <c r="L14" i="1" s="1"/>
  <c r="O14" i="1" s="1"/>
  <c r="M13" i="1"/>
  <c r="L13" i="1" s="1"/>
  <c r="O13" i="1" s="1"/>
  <c r="M17" i="1"/>
  <c r="L17" i="1" s="1"/>
  <c r="M12" i="1"/>
  <c r="L12" i="1" s="1"/>
  <c r="O12" i="1" s="1"/>
  <c r="M11" i="1"/>
  <c r="L11" i="1" s="1"/>
  <c r="O11" i="1" s="1"/>
  <c r="M10" i="1"/>
  <c r="L10" i="1" s="1"/>
  <c r="O10" i="1" s="1"/>
  <c r="M9" i="1"/>
  <c r="L9" i="1" s="1"/>
  <c r="J38" i="1"/>
  <c r="G38" i="1"/>
  <c r="G15" i="1"/>
  <c r="AB8" i="13" l="1"/>
  <c r="AB20" i="12"/>
  <c r="AA8" i="9"/>
  <c r="AA20" i="8"/>
  <c r="O20" i="1"/>
  <c r="S20" i="1"/>
  <c r="S17" i="1"/>
  <c r="S18" i="1" s="1"/>
  <c r="V17" i="1"/>
  <c r="U17" i="1" s="1"/>
  <c r="F17" i="2" s="1"/>
  <c r="O9" i="1"/>
  <c r="S9" i="1"/>
  <c r="E8" i="2"/>
  <c r="K8" i="2" s="1"/>
  <c r="T18" i="2"/>
  <c r="E17" i="3"/>
  <c r="T38" i="1"/>
  <c r="O17" i="1"/>
  <c r="Q17" i="1"/>
  <c r="Q18" i="1" s="1"/>
  <c r="K18" i="2"/>
  <c r="E21" i="2"/>
  <c r="K21" i="2" s="1"/>
  <c r="O38" i="1"/>
  <c r="E27" i="2"/>
  <c r="K27" i="2" s="1"/>
  <c r="U27" i="1"/>
  <c r="E22" i="2"/>
  <c r="K22" i="2" s="1"/>
  <c r="L22" i="2" s="1"/>
  <c r="O22" i="2" s="1"/>
  <c r="U22" i="1"/>
  <c r="E20" i="2"/>
  <c r="O18" i="1"/>
  <c r="E34" i="2"/>
  <c r="K34" i="2" s="1"/>
  <c r="U34" i="1"/>
  <c r="T14" i="2"/>
  <c r="T33" i="2"/>
  <c r="U33" i="2" s="1"/>
  <c r="L33" i="2"/>
  <c r="O33" i="2" s="1"/>
  <c r="E31" i="2"/>
  <c r="K31" i="2" s="1"/>
  <c r="U31" i="1"/>
  <c r="E32" i="2"/>
  <c r="K32" i="2" s="1"/>
  <c r="U32" i="1"/>
  <c r="E24" i="2"/>
  <c r="K24" i="2" s="1"/>
  <c r="U24" i="1"/>
  <c r="E23" i="2"/>
  <c r="K23" i="2" s="1"/>
  <c r="U23" i="1"/>
  <c r="T12" i="2"/>
  <c r="E37" i="2"/>
  <c r="K37" i="2" s="1"/>
  <c r="U37" i="1"/>
  <c r="E35" i="2"/>
  <c r="K35" i="2" s="1"/>
  <c r="U35" i="1"/>
  <c r="E29" i="2"/>
  <c r="K29" i="2" s="1"/>
  <c r="U29" i="1"/>
  <c r="E36" i="2"/>
  <c r="K36" i="2" s="1"/>
  <c r="U36" i="1"/>
  <c r="E26" i="2"/>
  <c r="K26" i="2" s="1"/>
  <c r="U26" i="1"/>
  <c r="E28" i="2"/>
  <c r="K28" i="2" s="1"/>
  <c r="U28" i="1"/>
  <c r="E30" i="2"/>
  <c r="K30" i="2" s="1"/>
  <c r="U30" i="1"/>
  <c r="T8" i="2"/>
  <c r="E8" i="3" s="1"/>
  <c r="K8" i="3" s="1"/>
  <c r="S37" i="1"/>
  <c r="V29" i="1"/>
  <c r="G29" i="2" s="1"/>
  <c r="M29" i="2" s="1"/>
  <c r="V28" i="1"/>
  <c r="G28" i="2" s="1"/>
  <c r="M28" i="2" s="1"/>
  <c r="Q36" i="1"/>
  <c r="V35" i="1"/>
  <c r="G35" i="2" s="1"/>
  <c r="M35" i="2" s="1"/>
  <c r="S32" i="1"/>
  <c r="S31" i="1"/>
  <c r="V33" i="1"/>
  <c r="G33" i="2" s="1"/>
  <c r="M33" i="2" s="1"/>
  <c r="V27" i="1"/>
  <c r="G27" i="2" s="1"/>
  <c r="M27" i="2" s="1"/>
  <c r="Q34" i="1"/>
  <c r="Q30" i="1"/>
  <c r="T25" i="2"/>
  <c r="S26" i="1"/>
  <c r="S24" i="1"/>
  <c r="V21" i="1"/>
  <c r="V25" i="1"/>
  <c r="G25" i="2" s="1"/>
  <c r="M25" i="2" s="1"/>
  <c r="S25" i="2" s="1"/>
  <c r="Q20" i="1"/>
  <c r="S22" i="1"/>
  <c r="S23" i="1"/>
  <c r="S10" i="1"/>
  <c r="S11" i="1"/>
  <c r="S13" i="1"/>
  <c r="S14" i="1"/>
  <c r="K11" i="2"/>
  <c r="K10" i="2"/>
  <c r="E15" i="2"/>
  <c r="K9" i="2"/>
  <c r="K13" i="2"/>
  <c r="T39" i="1"/>
  <c r="J39" i="2"/>
  <c r="Q12" i="1"/>
  <c r="K39" i="1"/>
  <c r="G39" i="1"/>
  <c r="M18" i="1"/>
  <c r="M38" i="1"/>
  <c r="AA8" i="10" l="1"/>
  <c r="AA20" i="9"/>
  <c r="AB8" i="14"/>
  <c r="AB20" i="13"/>
  <c r="AA16" i="23"/>
  <c r="G21" i="2"/>
  <c r="M21" i="2" s="1"/>
  <c r="U21" i="1"/>
  <c r="G17" i="2"/>
  <c r="V18" i="1"/>
  <c r="E18" i="3"/>
  <c r="K17" i="3"/>
  <c r="E38" i="2"/>
  <c r="E39" i="2" s="1"/>
  <c r="T8" i="3"/>
  <c r="E14" i="3"/>
  <c r="K14" i="3" s="1"/>
  <c r="Q33" i="2"/>
  <c r="E25" i="3"/>
  <c r="K25" i="3" s="1"/>
  <c r="U25" i="2"/>
  <c r="T30" i="2"/>
  <c r="L30" i="2"/>
  <c r="O30" i="2" s="1"/>
  <c r="T37" i="2"/>
  <c r="L37" i="2"/>
  <c r="O37" i="2" s="1"/>
  <c r="T24" i="2"/>
  <c r="L24" i="2"/>
  <c r="O24" i="2" s="1"/>
  <c r="T27" i="2"/>
  <c r="L27" i="2"/>
  <c r="T22" i="2"/>
  <c r="U22" i="2" s="1"/>
  <c r="T28" i="2"/>
  <c r="L28" i="2"/>
  <c r="T29" i="2"/>
  <c r="L29" i="2"/>
  <c r="T32" i="2"/>
  <c r="L32" i="2"/>
  <c r="O32" i="2" s="1"/>
  <c r="K20" i="2"/>
  <c r="E33" i="3"/>
  <c r="K33" i="3" s="1"/>
  <c r="E12" i="3"/>
  <c r="K12" i="3" s="1"/>
  <c r="T26" i="2"/>
  <c r="L26" i="2"/>
  <c r="O26" i="2" s="1"/>
  <c r="T35" i="2"/>
  <c r="L35" i="2"/>
  <c r="T23" i="2"/>
  <c r="L23" i="2"/>
  <c r="O23" i="2" s="1"/>
  <c r="T31" i="2"/>
  <c r="L31" i="2"/>
  <c r="O31" i="2" s="1"/>
  <c r="T34" i="2"/>
  <c r="L34" i="2"/>
  <c r="O34" i="2" s="1"/>
  <c r="T21" i="2"/>
  <c r="L21" i="2"/>
  <c r="S21" i="2" s="1"/>
  <c r="T36" i="2"/>
  <c r="L36" i="2"/>
  <c r="O36" i="2" s="1"/>
  <c r="Q13" i="1"/>
  <c r="Q27" i="1"/>
  <c r="Q22" i="1"/>
  <c r="Q11" i="1"/>
  <c r="V37" i="1"/>
  <c r="Q33" i="1"/>
  <c r="V24" i="1"/>
  <c r="V20" i="1"/>
  <c r="U20" i="1" s="1"/>
  <c r="Q37" i="1"/>
  <c r="V31" i="1"/>
  <c r="S35" i="1"/>
  <c r="S27" i="1"/>
  <c r="S36" i="1"/>
  <c r="Q29" i="1"/>
  <c r="Q28" i="1"/>
  <c r="S30" i="1"/>
  <c r="S28" i="1"/>
  <c r="V32" i="1"/>
  <c r="V30" i="1"/>
  <c r="S25" i="1"/>
  <c r="Q35" i="1"/>
  <c r="V11" i="1"/>
  <c r="U11" i="1" s="1"/>
  <c r="V23" i="1"/>
  <c r="Q25" i="1"/>
  <c r="Q32" i="1"/>
  <c r="S29" i="1"/>
  <c r="S33" i="1"/>
  <c r="V36" i="1"/>
  <c r="G36" i="2" s="1"/>
  <c r="M36" i="2" s="1"/>
  <c r="V34" i="1"/>
  <c r="G34" i="2" s="1"/>
  <c r="M34" i="2" s="1"/>
  <c r="V22" i="1"/>
  <c r="Q21" i="1"/>
  <c r="Q31" i="1"/>
  <c r="F35" i="2"/>
  <c r="S34" i="1"/>
  <c r="S21" i="1"/>
  <c r="F28" i="2"/>
  <c r="F33" i="2"/>
  <c r="F29" i="2"/>
  <c r="F27" i="2"/>
  <c r="Q24" i="1"/>
  <c r="F21" i="2"/>
  <c r="F25" i="2"/>
  <c r="Q23" i="1"/>
  <c r="Q26" i="1"/>
  <c r="V26" i="1"/>
  <c r="G26" i="2" s="1"/>
  <c r="M26" i="2" s="1"/>
  <c r="V10" i="1"/>
  <c r="V13" i="1"/>
  <c r="Q9" i="1"/>
  <c r="V9" i="1"/>
  <c r="U9" i="1" s="1"/>
  <c r="Q10" i="1"/>
  <c r="T10" i="2"/>
  <c r="T11" i="2"/>
  <c r="T13" i="2"/>
  <c r="T9" i="2"/>
  <c r="V14" i="1"/>
  <c r="Q14" i="1"/>
  <c r="K15" i="2"/>
  <c r="Q25" i="2"/>
  <c r="S33" i="2"/>
  <c r="V33" i="2"/>
  <c r="V25" i="2"/>
  <c r="V12" i="1"/>
  <c r="S12" i="1"/>
  <c r="A9" i="1"/>
  <c r="A10" i="1" s="1"/>
  <c r="A11" i="1" s="1"/>
  <c r="A12" i="1" s="1"/>
  <c r="A13" i="1" s="1"/>
  <c r="A14" i="1" s="1"/>
  <c r="A17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B8" i="15" l="1"/>
  <c r="AB20" i="14"/>
  <c r="AA8" i="11"/>
  <c r="AA20" i="10"/>
  <c r="AA16" i="24"/>
  <c r="AA16" i="25" s="1"/>
  <c r="AA16" i="26" s="1"/>
  <c r="AA16" i="27" s="1"/>
  <c r="AA16" i="28" s="1"/>
  <c r="AA16" i="29" s="1"/>
  <c r="AA16" i="30" s="1"/>
  <c r="AA16" i="31" s="1"/>
  <c r="G18" i="2"/>
  <c r="M17" i="2"/>
  <c r="T17" i="3"/>
  <c r="K18" i="3"/>
  <c r="J17" i="32"/>
  <c r="G13" i="2"/>
  <c r="M13" i="2" s="1"/>
  <c r="L13" i="2" s="1"/>
  <c r="O13" i="2" s="1"/>
  <c r="U13" i="1"/>
  <c r="F13" i="2" s="1"/>
  <c r="G12" i="2"/>
  <c r="M12" i="2" s="1"/>
  <c r="U12" i="1"/>
  <c r="F12" i="2" s="1"/>
  <c r="T12" i="3"/>
  <c r="G14" i="2"/>
  <c r="M14" i="2" s="1"/>
  <c r="U14" i="1"/>
  <c r="F14" i="2" s="1"/>
  <c r="G10" i="2"/>
  <c r="M10" i="2" s="1"/>
  <c r="U10" i="1"/>
  <c r="F10" i="2" s="1"/>
  <c r="T14" i="3"/>
  <c r="S27" i="2"/>
  <c r="O27" i="2"/>
  <c r="Q21" i="2"/>
  <c r="O21" i="2"/>
  <c r="V29" i="2"/>
  <c r="O29" i="2"/>
  <c r="T33" i="3"/>
  <c r="L33" i="3"/>
  <c r="V35" i="2"/>
  <c r="G35" i="3" s="1"/>
  <c r="M35" i="3" s="1"/>
  <c r="O35" i="2"/>
  <c r="S28" i="2"/>
  <c r="O28" i="2"/>
  <c r="T25" i="3"/>
  <c r="L25" i="3"/>
  <c r="Q27" i="2"/>
  <c r="V28" i="2"/>
  <c r="G28" i="3" s="1"/>
  <c r="M28" i="3" s="1"/>
  <c r="S35" i="2"/>
  <c r="E22" i="3"/>
  <c r="K22" i="3" s="1"/>
  <c r="E21" i="3"/>
  <c r="K21" i="3" s="1"/>
  <c r="U23" i="2"/>
  <c r="E23" i="3"/>
  <c r="K23" i="3" s="1"/>
  <c r="V21" i="2"/>
  <c r="U32" i="2"/>
  <c r="E32" i="3"/>
  <c r="K32" i="3" s="1"/>
  <c r="Q35" i="2"/>
  <c r="U36" i="2"/>
  <c r="F36" i="3" s="1"/>
  <c r="E36" i="3"/>
  <c r="K36" i="3" s="1"/>
  <c r="U37" i="2"/>
  <c r="E37" i="3"/>
  <c r="K37" i="3" s="1"/>
  <c r="S29" i="2"/>
  <c r="E34" i="3"/>
  <c r="K34" i="3" s="1"/>
  <c r="U34" i="2"/>
  <c r="U35" i="2"/>
  <c r="F35" i="3" s="1"/>
  <c r="E35" i="3"/>
  <c r="K35" i="3" s="1"/>
  <c r="U29" i="2"/>
  <c r="F29" i="3" s="1"/>
  <c r="E29" i="3"/>
  <c r="K29" i="3" s="1"/>
  <c r="Q29" i="2"/>
  <c r="U30" i="2"/>
  <c r="E30" i="3"/>
  <c r="K30" i="3" s="1"/>
  <c r="V36" i="2"/>
  <c r="G36" i="3" s="1"/>
  <c r="M36" i="3" s="1"/>
  <c r="U31" i="2"/>
  <c r="E31" i="3"/>
  <c r="K31" i="3" s="1"/>
  <c r="U26" i="2"/>
  <c r="E26" i="3"/>
  <c r="K26" i="3" s="1"/>
  <c r="T20" i="2"/>
  <c r="K38" i="2"/>
  <c r="K39" i="2" s="1"/>
  <c r="U28" i="2"/>
  <c r="F28" i="3" s="1"/>
  <c r="E28" i="3"/>
  <c r="K28" i="3" s="1"/>
  <c r="U27" i="2"/>
  <c r="F27" i="3" s="1"/>
  <c r="E27" i="3"/>
  <c r="K27" i="3" s="1"/>
  <c r="Q28" i="2"/>
  <c r="V27" i="2"/>
  <c r="G27" i="3" s="1"/>
  <c r="M27" i="3" s="1"/>
  <c r="U24" i="2"/>
  <c r="E24" i="3"/>
  <c r="K24" i="3" s="1"/>
  <c r="F25" i="3"/>
  <c r="G25" i="3"/>
  <c r="M25" i="3" s="1"/>
  <c r="F33" i="3"/>
  <c r="G33" i="3"/>
  <c r="M33" i="3" s="1"/>
  <c r="G29" i="3"/>
  <c r="M29" i="3" s="1"/>
  <c r="S36" i="2"/>
  <c r="G9" i="2"/>
  <c r="M9" i="2" s="1"/>
  <c r="F31" i="2"/>
  <c r="G31" i="2"/>
  <c r="M31" i="2" s="1"/>
  <c r="F37" i="2"/>
  <c r="G37" i="2"/>
  <c r="M37" i="2" s="1"/>
  <c r="F22" i="2"/>
  <c r="G22" i="2"/>
  <c r="M22" i="2" s="1"/>
  <c r="F23" i="2"/>
  <c r="G23" i="2"/>
  <c r="M23" i="2" s="1"/>
  <c r="F20" i="2"/>
  <c r="G20" i="2"/>
  <c r="Q36" i="2"/>
  <c r="Q26" i="2"/>
  <c r="S26" i="2"/>
  <c r="V26" i="2"/>
  <c r="F30" i="2"/>
  <c r="G30" i="2"/>
  <c r="M30" i="2" s="1"/>
  <c r="F24" i="2"/>
  <c r="G24" i="2"/>
  <c r="M24" i="2" s="1"/>
  <c r="V34" i="2"/>
  <c r="Q34" i="2"/>
  <c r="S34" i="2"/>
  <c r="F32" i="2"/>
  <c r="G32" i="2"/>
  <c r="M32" i="2" s="1"/>
  <c r="F11" i="2"/>
  <c r="G11" i="2"/>
  <c r="M11" i="2" s="1"/>
  <c r="S38" i="1"/>
  <c r="V38" i="1"/>
  <c r="F34" i="2"/>
  <c r="F36" i="2"/>
  <c r="F26" i="2"/>
  <c r="Q38" i="1"/>
  <c r="F9" i="2"/>
  <c r="E9" i="3"/>
  <c r="K9" i="3" s="1"/>
  <c r="E13" i="3"/>
  <c r="K13" i="3" s="1"/>
  <c r="E11" i="3"/>
  <c r="K11" i="3" s="1"/>
  <c r="E10" i="3"/>
  <c r="K10" i="3" s="1"/>
  <c r="T15" i="2"/>
  <c r="AA8" i="12" l="1"/>
  <c r="AA20" i="11"/>
  <c r="AB8" i="16"/>
  <c r="AB20" i="15"/>
  <c r="G21" i="3"/>
  <c r="M21" i="3" s="1"/>
  <c r="U21" i="2"/>
  <c r="F21" i="3" s="1"/>
  <c r="M18" i="2"/>
  <c r="L17" i="2"/>
  <c r="T18" i="3"/>
  <c r="E17" i="4"/>
  <c r="M17" i="32"/>
  <c r="J18" i="32"/>
  <c r="V13" i="2"/>
  <c r="U13" i="2" s="1"/>
  <c r="F13" i="3" s="1"/>
  <c r="L12" i="2"/>
  <c r="L10" i="2"/>
  <c r="O10" i="2" s="1"/>
  <c r="T13" i="3"/>
  <c r="T10" i="3"/>
  <c r="T11" i="3"/>
  <c r="T9" i="3"/>
  <c r="K15" i="3"/>
  <c r="L11" i="2"/>
  <c r="O11" i="2" s="1"/>
  <c r="L9" i="2"/>
  <c r="O9" i="2" s="1"/>
  <c r="L14" i="2"/>
  <c r="L37" i="3"/>
  <c r="T37" i="3"/>
  <c r="E37" i="4" s="1"/>
  <c r="K37" i="4" s="1"/>
  <c r="L26" i="3"/>
  <c r="T26" i="3"/>
  <c r="T24" i="3"/>
  <c r="L24" i="3"/>
  <c r="L28" i="3"/>
  <c r="T28" i="3"/>
  <c r="L34" i="3"/>
  <c r="T34" i="3"/>
  <c r="T21" i="3"/>
  <c r="E21" i="4" s="1"/>
  <c r="K21" i="4" s="1"/>
  <c r="L21" i="3"/>
  <c r="L31" i="3"/>
  <c r="T31" i="3"/>
  <c r="E31" i="4" s="1"/>
  <c r="K31" i="4" s="1"/>
  <c r="L29" i="3"/>
  <c r="T29" i="3"/>
  <c r="E29" i="4" s="1"/>
  <c r="K29" i="4" s="1"/>
  <c r="L32" i="3"/>
  <c r="T32" i="3"/>
  <c r="S25" i="3"/>
  <c r="O25" i="3"/>
  <c r="Q25" i="3"/>
  <c r="L22" i="3"/>
  <c r="T22" i="3"/>
  <c r="U25" i="3"/>
  <c r="V25" i="3"/>
  <c r="L35" i="3"/>
  <c r="T35" i="3"/>
  <c r="E35" i="4" s="1"/>
  <c r="K35" i="4" s="1"/>
  <c r="S33" i="3"/>
  <c r="O33" i="3"/>
  <c r="Q33" i="3"/>
  <c r="T27" i="3"/>
  <c r="E27" i="4" s="1"/>
  <c r="K27" i="4" s="1"/>
  <c r="L27" i="3"/>
  <c r="T30" i="3"/>
  <c r="L30" i="3"/>
  <c r="T36" i="3"/>
  <c r="E36" i="4" s="1"/>
  <c r="K36" i="4" s="1"/>
  <c r="L36" i="3"/>
  <c r="L23" i="3"/>
  <c r="T23" i="3"/>
  <c r="E23" i="4" s="1"/>
  <c r="K23" i="4" s="1"/>
  <c r="V33" i="3"/>
  <c r="U33" i="3"/>
  <c r="E33" i="4"/>
  <c r="K33" i="4" s="1"/>
  <c r="E20" i="3"/>
  <c r="T38" i="2"/>
  <c r="T39" i="2" s="1"/>
  <c r="F26" i="3"/>
  <c r="G26" i="3"/>
  <c r="M26" i="3" s="1"/>
  <c r="F34" i="3"/>
  <c r="G34" i="3"/>
  <c r="M34" i="3" s="1"/>
  <c r="Q24" i="2"/>
  <c r="S24" i="2"/>
  <c r="V24" i="2"/>
  <c r="Q22" i="2"/>
  <c r="V22" i="2"/>
  <c r="S22" i="2"/>
  <c r="Q32" i="2"/>
  <c r="V32" i="2"/>
  <c r="S32" i="2"/>
  <c r="Q30" i="2"/>
  <c r="S30" i="2"/>
  <c r="V30" i="2"/>
  <c r="M20" i="2"/>
  <c r="L20" i="2" s="1"/>
  <c r="O20" i="2" s="1"/>
  <c r="O38" i="2" s="1"/>
  <c r="G38" i="2"/>
  <c r="V37" i="2"/>
  <c r="S37" i="2"/>
  <c r="Q37" i="2"/>
  <c r="Q23" i="2"/>
  <c r="V23" i="2"/>
  <c r="S23" i="2"/>
  <c r="S31" i="2"/>
  <c r="Q31" i="2"/>
  <c r="V31" i="2"/>
  <c r="E25" i="4"/>
  <c r="K25" i="4" s="1"/>
  <c r="E8" i="4"/>
  <c r="K8" i="4" s="1"/>
  <c r="E14" i="4"/>
  <c r="K14" i="4" s="1"/>
  <c r="E15" i="3"/>
  <c r="E12" i="4"/>
  <c r="K12" i="4" s="1"/>
  <c r="Q13" i="2"/>
  <c r="S13" i="2"/>
  <c r="AB8" i="17" l="1"/>
  <c r="AB20" i="16"/>
  <c r="AA8" i="13"/>
  <c r="AA20" i="12"/>
  <c r="V17" i="2"/>
  <c r="S17" i="2"/>
  <c r="S18" i="2" s="1"/>
  <c r="Q17" i="2"/>
  <c r="Q18" i="2" s="1"/>
  <c r="O17" i="2"/>
  <c r="O18" i="2" s="1"/>
  <c r="K17" i="4"/>
  <c r="E18" i="4"/>
  <c r="V11" i="2"/>
  <c r="U11" i="2" s="1"/>
  <c r="F11" i="3" s="1"/>
  <c r="G13" i="3"/>
  <c r="M13" i="3" s="1"/>
  <c r="L13" i="3" s="1"/>
  <c r="O13" i="3" s="1"/>
  <c r="M18" i="32"/>
  <c r="K20" i="3"/>
  <c r="T20" i="3" s="1"/>
  <c r="E38" i="3"/>
  <c r="E39" i="3" s="1"/>
  <c r="Q11" i="2"/>
  <c r="O12" i="2"/>
  <c r="S12" i="2"/>
  <c r="Q12" i="2"/>
  <c r="V12" i="2"/>
  <c r="S11" i="2"/>
  <c r="S10" i="2"/>
  <c r="O14" i="2"/>
  <c r="S14" i="2"/>
  <c r="V14" i="2"/>
  <c r="T12" i="4"/>
  <c r="Q14" i="2"/>
  <c r="S13" i="3"/>
  <c r="T15" i="3"/>
  <c r="Q10" i="2"/>
  <c r="T14" i="4"/>
  <c r="V9" i="2"/>
  <c r="U9" i="2" s="1"/>
  <c r="F9" i="3" s="1"/>
  <c r="S9" i="2"/>
  <c r="T8" i="4"/>
  <c r="Q9" i="2"/>
  <c r="V10" i="2"/>
  <c r="T33" i="4"/>
  <c r="L33" i="4"/>
  <c r="V36" i="3"/>
  <c r="G36" i="4" s="1"/>
  <c r="M36" i="4" s="1"/>
  <c r="U36" i="3"/>
  <c r="U31" i="3"/>
  <c r="V31" i="3"/>
  <c r="V34" i="3"/>
  <c r="U34" i="3"/>
  <c r="T36" i="4"/>
  <c r="L36" i="4"/>
  <c r="T31" i="4"/>
  <c r="L31" i="4"/>
  <c r="S30" i="3"/>
  <c r="Q30" i="3"/>
  <c r="O30" i="3"/>
  <c r="O31" i="3"/>
  <c r="S31" i="3"/>
  <c r="Q31" i="3"/>
  <c r="S34" i="3"/>
  <c r="Q34" i="3"/>
  <c r="O34" i="3"/>
  <c r="T23" i="4"/>
  <c r="L23" i="4"/>
  <c r="T35" i="4"/>
  <c r="L35" i="4"/>
  <c r="T29" i="4"/>
  <c r="L29" i="4"/>
  <c r="U30" i="3"/>
  <c r="V30" i="3"/>
  <c r="V32" i="3"/>
  <c r="U32" i="3"/>
  <c r="U28" i="3"/>
  <c r="V28" i="3"/>
  <c r="V26" i="3"/>
  <c r="U26" i="3"/>
  <c r="T27" i="4"/>
  <c r="L27" i="4"/>
  <c r="S27" i="3"/>
  <c r="O27" i="3"/>
  <c r="Q27" i="3"/>
  <c r="Q28" i="3"/>
  <c r="O28" i="3"/>
  <c r="S28" i="3"/>
  <c r="K38" i="3"/>
  <c r="K39" i="3" s="1"/>
  <c r="T21" i="4"/>
  <c r="Q23" i="3"/>
  <c r="O23" i="3"/>
  <c r="S23" i="3"/>
  <c r="V27" i="3"/>
  <c r="U27" i="3"/>
  <c r="O35" i="3"/>
  <c r="S35" i="3"/>
  <c r="Q35" i="3"/>
  <c r="O22" i="3"/>
  <c r="S22" i="3"/>
  <c r="Q22" i="3"/>
  <c r="V29" i="3"/>
  <c r="U29" i="3"/>
  <c r="S21" i="3"/>
  <c r="O21" i="3"/>
  <c r="Q21" i="3"/>
  <c r="Q24" i="3"/>
  <c r="O24" i="3"/>
  <c r="S24" i="3"/>
  <c r="V37" i="3"/>
  <c r="U37" i="3"/>
  <c r="T37" i="4"/>
  <c r="L37" i="4"/>
  <c r="V23" i="3"/>
  <c r="U23" i="3"/>
  <c r="U35" i="3"/>
  <c r="V35" i="3"/>
  <c r="U22" i="3"/>
  <c r="V22" i="3"/>
  <c r="Q32" i="3"/>
  <c r="S32" i="3"/>
  <c r="O32" i="3"/>
  <c r="S26" i="3"/>
  <c r="O26" i="3"/>
  <c r="Q26" i="3"/>
  <c r="T25" i="4"/>
  <c r="L25" i="4"/>
  <c r="E30" i="4"/>
  <c r="K30" i="4" s="1"/>
  <c r="Q36" i="3"/>
  <c r="S36" i="3"/>
  <c r="O36" i="3"/>
  <c r="S29" i="3"/>
  <c r="O29" i="3"/>
  <c r="Q29" i="3"/>
  <c r="V21" i="3"/>
  <c r="U24" i="3"/>
  <c r="V24" i="3"/>
  <c r="S37" i="3"/>
  <c r="Q37" i="3"/>
  <c r="O37" i="3"/>
  <c r="E24" i="4"/>
  <c r="K24" i="4" s="1"/>
  <c r="E34" i="4"/>
  <c r="K34" i="4" s="1"/>
  <c r="E26" i="4"/>
  <c r="K26" i="4" s="1"/>
  <c r="E28" i="4"/>
  <c r="K28" i="4" s="1"/>
  <c r="E32" i="4"/>
  <c r="K32" i="4" s="1"/>
  <c r="E10" i="4"/>
  <c r="K10" i="4" s="1"/>
  <c r="G27" i="4"/>
  <c r="M27" i="4" s="1"/>
  <c r="G29" i="4"/>
  <c r="M29" i="4" s="1"/>
  <c r="G33" i="4"/>
  <c r="M33" i="4" s="1"/>
  <c r="F30" i="3"/>
  <c r="G30" i="3"/>
  <c r="M30" i="3" s="1"/>
  <c r="F31" i="3"/>
  <c r="G31" i="3"/>
  <c r="M31" i="3" s="1"/>
  <c r="F22" i="3"/>
  <c r="G22" i="3"/>
  <c r="M22" i="3" s="1"/>
  <c r="F37" i="3"/>
  <c r="G37" i="3"/>
  <c r="M37" i="3" s="1"/>
  <c r="F24" i="3"/>
  <c r="G24" i="3"/>
  <c r="M24" i="3" s="1"/>
  <c r="F32" i="3"/>
  <c r="G32" i="3"/>
  <c r="M32" i="3" s="1"/>
  <c r="F23" i="3"/>
  <c r="G23" i="3"/>
  <c r="M23" i="3" s="1"/>
  <c r="M38" i="2"/>
  <c r="E22" i="4"/>
  <c r="K22" i="4" s="1"/>
  <c r="E9" i="4"/>
  <c r="K9" i="4" s="1"/>
  <c r="AA8" i="14" l="1"/>
  <c r="AA20" i="13"/>
  <c r="AB8" i="18"/>
  <c r="AB20" i="17"/>
  <c r="G21" i="4"/>
  <c r="M21" i="4" s="1"/>
  <c r="L21" i="4" s="1"/>
  <c r="U21" i="3"/>
  <c r="U17" i="2"/>
  <c r="F17" i="3" s="1"/>
  <c r="V18" i="2"/>
  <c r="G17" i="3"/>
  <c r="V13" i="3"/>
  <c r="U13" i="3" s="1"/>
  <c r="G11" i="3"/>
  <c r="M11" i="3" s="1"/>
  <c r="L11" i="3" s="1"/>
  <c r="V11" i="3" s="1"/>
  <c r="U11" i="3" s="1"/>
  <c r="T17" i="4"/>
  <c r="K18" i="4"/>
  <c r="Q13" i="3"/>
  <c r="G9" i="3"/>
  <c r="M9" i="3" s="1"/>
  <c r="L9" i="3" s="1"/>
  <c r="V9" i="3" s="1"/>
  <c r="U9" i="3" s="1"/>
  <c r="U12" i="2"/>
  <c r="F12" i="3" s="1"/>
  <c r="G12" i="3"/>
  <c r="M12" i="3" s="1"/>
  <c r="L12" i="3" s="1"/>
  <c r="U10" i="2"/>
  <c r="F10" i="3" s="1"/>
  <c r="G10" i="3"/>
  <c r="M10" i="3" s="1"/>
  <c r="L10" i="3" s="1"/>
  <c r="T9" i="4"/>
  <c r="T10" i="4"/>
  <c r="U14" i="2"/>
  <c r="F14" i="3" s="1"/>
  <c r="G14" i="3"/>
  <c r="M14" i="3" s="1"/>
  <c r="L14" i="3" s="1"/>
  <c r="T26" i="4"/>
  <c r="L26" i="4"/>
  <c r="L32" i="4"/>
  <c r="T32" i="4"/>
  <c r="T28" i="4"/>
  <c r="L28" i="4"/>
  <c r="T38" i="3"/>
  <c r="T39" i="3" s="1"/>
  <c r="V23" i="4"/>
  <c r="U23" i="4"/>
  <c r="S36" i="4"/>
  <c r="O36" i="4"/>
  <c r="Q36" i="4"/>
  <c r="T30" i="4"/>
  <c r="E30" i="5" s="1"/>
  <c r="K30" i="5" s="1"/>
  <c r="L30" i="4"/>
  <c r="Q29" i="4"/>
  <c r="O29" i="4"/>
  <c r="S29" i="4"/>
  <c r="V36" i="4"/>
  <c r="U36" i="4"/>
  <c r="S25" i="4"/>
  <c r="O25" i="4"/>
  <c r="Q25" i="4"/>
  <c r="V29" i="4"/>
  <c r="G29" i="5" s="1"/>
  <c r="M29" i="5" s="1"/>
  <c r="U29" i="4"/>
  <c r="S21" i="4"/>
  <c r="Q21" i="4"/>
  <c r="O21" i="4"/>
  <c r="S27" i="4"/>
  <c r="O27" i="4"/>
  <c r="Q27" i="4"/>
  <c r="O35" i="4"/>
  <c r="S35" i="4"/>
  <c r="Q35" i="4"/>
  <c r="T22" i="4"/>
  <c r="L22" i="4"/>
  <c r="T34" i="4"/>
  <c r="L34" i="4"/>
  <c r="U25" i="4"/>
  <c r="V25" i="4"/>
  <c r="S37" i="4"/>
  <c r="Q37" i="4"/>
  <c r="O37" i="4"/>
  <c r="V21" i="4"/>
  <c r="U21" i="4"/>
  <c r="V27" i="4"/>
  <c r="U27" i="4"/>
  <c r="V35" i="4"/>
  <c r="U35" i="4"/>
  <c r="S31" i="4"/>
  <c r="Q31" i="4"/>
  <c r="O31" i="4"/>
  <c r="S33" i="4"/>
  <c r="O33" i="4"/>
  <c r="Q33" i="4"/>
  <c r="T24" i="4"/>
  <c r="L24" i="4"/>
  <c r="V37" i="4"/>
  <c r="U37" i="4"/>
  <c r="Q23" i="4"/>
  <c r="O23" i="4"/>
  <c r="S23" i="4"/>
  <c r="U31" i="4"/>
  <c r="V31" i="4"/>
  <c r="U33" i="4"/>
  <c r="V33" i="4"/>
  <c r="G33" i="5" s="1"/>
  <c r="M33" i="5" s="1"/>
  <c r="E13" i="4"/>
  <c r="K13" i="4" s="1"/>
  <c r="E36" i="5"/>
  <c r="K36" i="5" s="1"/>
  <c r="E11" i="4"/>
  <c r="K11" i="4" s="1"/>
  <c r="E29" i="5"/>
  <c r="K29" i="5" s="1"/>
  <c r="E21" i="5"/>
  <c r="K21" i="5" s="1"/>
  <c r="E33" i="5"/>
  <c r="K33" i="5" s="1"/>
  <c r="G26" i="4"/>
  <c r="M26" i="4" s="1"/>
  <c r="G22" i="4"/>
  <c r="M22" i="4" s="1"/>
  <c r="F36" i="4"/>
  <c r="F27" i="4"/>
  <c r="G37" i="4"/>
  <c r="M37" i="4" s="1"/>
  <c r="F33" i="4"/>
  <c r="G35" i="4"/>
  <c r="M35" i="4" s="1"/>
  <c r="G34" i="4"/>
  <c r="M34" i="4" s="1"/>
  <c r="F21" i="4"/>
  <c r="G28" i="4"/>
  <c r="M28" i="4" s="1"/>
  <c r="F29" i="4"/>
  <c r="G24" i="4"/>
  <c r="M24" i="4" s="1"/>
  <c r="G25" i="4"/>
  <c r="M25" i="4" s="1"/>
  <c r="V20" i="2"/>
  <c r="S20" i="2"/>
  <c r="Q20" i="2"/>
  <c r="G21" i="5"/>
  <c r="M21" i="5" s="1"/>
  <c r="E31" i="5"/>
  <c r="K31" i="5" s="1"/>
  <c r="E27" i="5"/>
  <c r="K27" i="5" s="1"/>
  <c r="E12" i="5"/>
  <c r="K12" i="5" s="1"/>
  <c r="AB8" i="19" l="1"/>
  <c r="AB20" i="18"/>
  <c r="AA8" i="15"/>
  <c r="AA20" i="14"/>
  <c r="G20" i="3"/>
  <c r="M20" i="3" s="1"/>
  <c r="U20" i="2"/>
  <c r="M17" i="3"/>
  <c r="G18" i="3"/>
  <c r="S11" i="3"/>
  <c r="O11" i="3"/>
  <c r="Q11" i="3"/>
  <c r="T18" i="4"/>
  <c r="E17" i="5"/>
  <c r="O9" i="3"/>
  <c r="S9" i="3"/>
  <c r="Q9" i="3"/>
  <c r="Q12" i="3"/>
  <c r="S12" i="3"/>
  <c r="O12" i="3"/>
  <c r="V12" i="3"/>
  <c r="E15" i="4"/>
  <c r="T11" i="4"/>
  <c r="K15" i="4"/>
  <c r="S14" i="3"/>
  <c r="O14" i="3"/>
  <c r="Q14" i="3"/>
  <c r="V14" i="3"/>
  <c r="O10" i="3"/>
  <c r="Q10" i="3"/>
  <c r="S10" i="3"/>
  <c r="V10" i="3"/>
  <c r="T12" i="5"/>
  <c r="T13" i="4"/>
  <c r="L31" i="5"/>
  <c r="T31" i="5"/>
  <c r="U34" i="4"/>
  <c r="V34" i="4"/>
  <c r="G34" i="5" s="1"/>
  <c r="M34" i="5" s="1"/>
  <c r="V28" i="4"/>
  <c r="U28" i="4"/>
  <c r="S24" i="4"/>
  <c r="Q24" i="4"/>
  <c r="O24" i="4"/>
  <c r="S22" i="4"/>
  <c r="Q22" i="4"/>
  <c r="O22" i="4"/>
  <c r="V32" i="4"/>
  <c r="U32" i="4"/>
  <c r="T36" i="5"/>
  <c r="L36" i="5"/>
  <c r="U24" i="4"/>
  <c r="V24" i="4"/>
  <c r="V22" i="4"/>
  <c r="U22" i="4"/>
  <c r="S30" i="4"/>
  <c r="O30" i="4"/>
  <c r="Q30" i="4"/>
  <c r="Q32" i="4"/>
  <c r="O32" i="4"/>
  <c r="S32" i="4"/>
  <c r="T30" i="5"/>
  <c r="L30" i="5"/>
  <c r="S28" i="4"/>
  <c r="Q28" i="4"/>
  <c r="O28" i="4"/>
  <c r="T27" i="5"/>
  <c r="L27" i="5"/>
  <c r="T33" i="5"/>
  <c r="L33" i="5"/>
  <c r="U30" i="4"/>
  <c r="V30" i="4"/>
  <c r="Q26" i="4"/>
  <c r="S26" i="4"/>
  <c r="O26" i="4"/>
  <c r="T29" i="5"/>
  <c r="L29" i="5"/>
  <c r="S34" i="4"/>
  <c r="Q34" i="4"/>
  <c r="O34" i="4"/>
  <c r="T21" i="5"/>
  <c r="L21" i="5"/>
  <c r="U26" i="4"/>
  <c r="V26" i="4"/>
  <c r="G26" i="5" s="1"/>
  <c r="M26" i="5" s="1"/>
  <c r="E14" i="5"/>
  <c r="K14" i="5" s="1"/>
  <c r="E26" i="5"/>
  <c r="K26" i="5" s="1"/>
  <c r="E32" i="5"/>
  <c r="K32" i="5" s="1"/>
  <c r="E10" i="5"/>
  <c r="K10" i="5" s="1"/>
  <c r="E20" i="4"/>
  <c r="E34" i="5"/>
  <c r="K34" i="5" s="1"/>
  <c r="E8" i="5"/>
  <c r="K8" i="5" s="1"/>
  <c r="Q38" i="2"/>
  <c r="S38" i="2"/>
  <c r="F37" i="4"/>
  <c r="F22" i="4"/>
  <c r="G30" i="4"/>
  <c r="G32" i="4"/>
  <c r="M32" i="4" s="1"/>
  <c r="F26" i="4"/>
  <c r="F24" i="4"/>
  <c r="F28" i="4"/>
  <c r="G23" i="4"/>
  <c r="M23" i="4" s="1"/>
  <c r="F34" i="4"/>
  <c r="F35" i="4"/>
  <c r="F25" i="4"/>
  <c r="G31" i="4"/>
  <c r="M31" i="4" s="1"/>
  <c r="G13" i="4"/>
  <c r="M13" i="4" s="1"/>
  <c r="L13" i="4" s="1"/>
  <c r="G11" i="4"/>
  <c r="M11" i="4" s="1"/>
  <c r="L11" i="4" s="1"/>
  <c r="G9" i="4"/>
  <c r="M9" i="4" s="1"/>
  <c r="L9" i="4" s="1"/>
  <c r="F21" i="5"/>
  <c r="G38" i="3"/>
  <c r="F20" i="3"/>
  <c r="V38" i="2"/>
  <c r="G27" i="5"/>
  <c r="M27" i="5" s="1"/>
  <c r="E37" i="5"/>
  <c r="K37" i="5" s="1"/>
  <c r="F29" i="5"/>
  <c r="E35" i="5"/>
  <c r="K35" i="5" s="1"/>
  <c r="E28" i="5"/>
  <c r="K28" i="5" s="1"/>
  <c r="F33" i="5"/>
  <c r="E25" i="5"/>
  <c r="K25" i="5" s="1"/>
  <c r="E23" i="5"/>
  <c r="K23" i="5" s="1"/>
  <c r="E24" i="5"/>
  <c r="K24" i="5" s="1"/>
  <c r="AA8" i="16" l="1"/>
  <c r="AA20" i="15"/>
  <c r="AB8" i="20"/>
  <c r="AB20" i="19"/>
  <c r="M38" i="3"/>
  <c r="L20" i="3"/>
  <c r="M18" i="3"/>
  <c r="L17" i="3"/>
  <c r="K17" i="5"/>
  <c r="E18" i="5"/>
  <c r="K20" i="4"/>
  <c r="K38" i="4" s="1"/>
  <c r="K39" i="4" s="1"/>
  <c r="E38" i="4"/>
  <c r="E39" i="4" s="1"/>
  <c r="U12" i="3"/>
  <c r="F12" i="4" s="1"/>
  <c r="G12" i="4"/>
  <c r="M12" i="4" s="1"/>
  <c r="L12" i="4" s="1"/>
  <c r="O11" i="4"/>
  <c r="S11" i="4"/>
  <c r="Q11" i="4"/>
  <c r="U14" i="3"/>
  <c r="F14" i="4" s="1"/>
  <c r="G14" i="4"/>
  <c r="M14" i="4" s="1"/>
  <c r="L14" i="4" s="1"/>
  <c r="V11" i="4"/>
  <c r="G11" i="5" s="1"/>
  <c r="M11" i="5" s="1"/>
  <c r="Q9" i="4"/>
  <c r="S9" i="4"/>
  <c r="O9" i="4"/>
  <c r="T14" i="5"/>
  <c r="G10" i="4"/>
  <c r="M10" i="4" s="1"/>
  <c r="L10" i="4" s="1"/>
  <c r="U10" i="3"/>
  <c r="F10" i="4" s="1"/>
  <c r="V13" i="4"/>
  <c r="U13" i="4" s="1"/>
  <c r="V9" i="4"/>
  <c r="U9" i="4" s="1"/>
  <c r="T8" i="5"/>
  <c r="E8" i="6" s="1"/>
  <c r="K8" i="6" s="1"/>
  <c r="T10" i="5"/>
  <c r="Q13" i="4"/>
  <c r="O13" i="4"/>
  <c r="S13" i="4"/>
  <c r="T15" i="4"/>
  <c r="V21" i="5"/>
  <c r="U21" i="5" s="1"/>
  <c r="V36" i="5"/>
  <c r="U36" i="5"/>
  <c r="T26" i="5"/>
  <c r="U26" i="5" s="1"/>
  <c r="L26" i="5"/>
  <c r="S33" i="5"/>
  <c r="Q33" i="5"/>
  <c r="O33" i="5"/>
  <c r="T32" i="5"/>
  <c r="U32" i="5" s="1"/>
  <c r="L32" i="5"/>
  <c r="G30" i="5"/>
  <c r="M30" i="5" s="1"/>
  <c r="M30" i="4"/>
  <c r="L34" i="5"/>
  <c r="T34" i="5"/>
  <c r="V33" i="5"/>
  <c r="U33" i="5"/>
  <c r="L37" i="5"/>
  <c r="T37" i="5"/>
  <c r="T20" i="4"/>
  <c r="S27" i="5"/>
  <c r="Q27" i="5"/>
  <c r="O27" i="5"/>
  <c r="U31" i="5"/>
  <c r="V31" i="5"/>
  <c r="T24" i="5"/>
  <c r="L24" i="5"/>
  <c r="T23" i="5"/>
  <c r="L23" i="5"/>
  <c r="U30" i="5"/>
  <c r="V30" i="5"/>
  <c r="L25" i="5"/>
  <c r="T25" i="5"/>
  <c r="L28" i="5"/>
  <c r="T28" i="5"/>
  <c r="T35" i="5"/>
  <c r="L35" i="5"/>
  <c r="Q29" i="5"/>
  <c r="S29" i="5"/>
  <c r="O29" i="5"/>
  <c r="V27" i="5"/>
  <c r="U27" i="5"/>
  <c r="O31" i="5"/>
  <c r="Q31" i="5"/>
  <c r="S31" i="5"/>
  <c r="S21" i="5"/>
  <c r="O21" i="5"/>
  <c r="Q21" i="5"/>
  <c r="U29" i="5"/>
  <c r="V29" i="5"/>
  <c r="S30" i="5"/>
  <c r="O30" i="5"/>
  <c r="Q30" i="5"/>
  <c r="S36" i="5"/>
  <c r="Q36" i="5"/>
  <c r="O36" i="5"/>
  <c r="E13" i="5"/>
  <c r="K13" i="5" s="1"/>
  <c r="E36" i="6"/>
  <c r="K36" i="6" s="1"/>
  <c r="E12" i="6"/>
  <c r="K12" i="6" s="1"/>
  <c r="E33" i="6"/>
  <c r="K33" i="6" s="1"/>
  <c r="E11" i="5"/>
  <c r="K11" i="5" s="1"/>
  <c r="F30" i="4"/>
  <c r="F32" i="4"/>
  <c r="F23" i="4"/>
  <c r="F31" i="4"/>
  <c r="F9" i="4"/>
  <c r="F13" i="4"/>
  <c r="F11" i="4"/>
  <c r="F27" i="5"/>
  <c r="F26" i="5"/>
  <c r="F34" i="5"/>
  <c r="G31" i="5"/>
  <c r="M31" i="5" s="1"/>
  <c r="G32" i="5"/>
  <c r="M32" i="5" s="1"/>
  <c r="G37" i="5"/>
  <c r="M37" i="5" s="1"/>
  <c r="G28" i="5"/>
  <c r="M28" i="5" s="1"/>
  <c r="E29" i="6"/>
  <c r="K29" i="6" s="1"/>
  <c r="G35" i="5"/>
  <c r="M35" i="5" s="1"/>
  <c r="F30" i="5"/>
  <c r="G24" i="5"/>
  <c r="M24" i="5" s="1"/>
  <c r="E21" i="6"/>
  <c r="K21" i="6" s="1"/>
  <c r="G23" i="5"/>
  <c r="M23" i="5" s="1"/>
  <c r="E22" i="5"/>
  <c r="K22" i="5" s="1"/>
  <c r="G22" i="5"/>
  <c r="M22" i="5" s="1"/>
  <c r="G25" i="5"/>
  <c r="M25" i="5" s="1"/>
  <c r="E9" i="5"/>
  <c r="K9" i="5" s="1"/>
  <c r="AB8" i="21" l="1"/>
  <c r="AB8" i="22" s="1"/>
  <c r="AB20" i="20"/>
  <c r="AA8" i="17"/>
  <c r="AA20" i="16"/>
  <c r="V20" i="3"/>
  <c r="O20" i="3"/>
  <c r="O38" i="3" s="1"/>
  <c r="Q20" i="3"/>
  <c r="Q38" i="3" s="1"/>
  <c r="S20" i="3"/>
  <c r="S38" i="3" s="1"/>
  <c r="V17" i="3"/>
  <c r="O17" i="3"/>
  <c r="O18" i="3" s="1"/>
  <c r="Q17" i="3"/>
  <c r="Q18" i="3" s="1"/>
  <c r="S17" i="3"/>
  <c r="S18" i="3" s="1"/>
  <c r="T17" i="5"/>
  <c r="K18" i="5"/>
  <c r="G9" i="5"/>
  <c r="M9" i="5" s="1"/>
  <c r="L9" i="5" s="1"/>
  <c r="U11" i="4"/>
  <c r="F11" i="5" s="1"/>
  <c r="G13" i="5"/>
  <c r="M13" i="5" s="1"/>
  <c r="L13" i="5" s="1"/>
  <c r="K15" i="5"/>
  <c r="O12" i="4"/>
  <c r="S12" i="4"/>
  <c r="Q12" i="4"/>
  <c r="V12" i="4"/>
  <c r="S14" i="4"/>
  <c r="O14" i="4"/>
  <c r="Q14" i="4"/>
  <c r="V14" i="4"/>
  <c r="T13" i="5"/>
  <c r="S10" i="4"/>
  <c r="Q10" i="4"/>
  <c r="O10" i="4"/>
  <c r="V10" i="4"/>
  <c r="T8" i="6"/>
  <c r="T12" i="6"/>
  <c r="L11" i="5"/>
  <c r="T11" i="5"/>
  <c r="T9" i="5"/>
  <c r="T33" i="6"/>
  <c r="L33" i="6"/>
  <c r="S28" i="5"/>
  <c r="Q28" i="5"/>
  <c r="O28" i="5"/>
  <c r="S23" i="5"/>
  <c r="Q23" i="5"/>
  <c r="O23" i="5"/>
  <c r="T38" i="4"/>
  <c r="T39" i="4" s="1"/>
  <c r="T36" i="6"/>
  <c r="L36" i="6"/>
  <c r="V25" i="5"/>
  <c r="U25" i="5"/>
  <c r="V23" i="5"/>
  <c r="U23" i="5"/>
  <c r="U37" i="5"/>
  <c r="V37" i="5"/>
  <c r="U34" i="5"/>
  <c r="V34" i="5"/>
  <c r="G34" i="6" s="1"/>
  <c r="M34" i="6" s="1"/>
  <c r="Q25" i="5"/>
  <c r="O25" i="5"/>
  <c r="S25" i="5"/>
  <c r="S24" i="5"/>
  <c r="Q24" i="5"/>
  <c r="O24" i="5"/>
  <c r="S37" i="5"/>
  <c r="Q37" i="5"/>
  <c r="O37" i="5"/>
  <c r="Q34" i="5"/>
  <c r="O34" i="5"/>
  <c r="S34" i="5"/>
  <c r="U28" i="5"/>
  <c r="V28" i="5"/>
  <c r="V32" i="5"/>
  <c r="Q32" i="5"/>
  <c r="S32" i="5"/>
  <c r="O32" i="5"/>
  <c r="V26" i="5"/>
  <c r="Q26" i="5"/>
  <c r="O26" i="5"/>
  <c r="S26" i="5"/>
  <c r="T21" i="6"/>
  <c r="O35" i="5"/>
  <c r="S35" i="5"/>
  <c r="Q35" i="5"/>
  <c r="U24" i="5"/>
  <c r="V24" i="5"/>
  <c r="L22" i="5"/>
  <c r="T22" i="5"/>
  <c r="T29" i="6"/>
  <c r="L29" i="6"/>
  <c r="U35" i="5"/>
  <c r="V35" i="5"/>
  <c r="E34" i="6"/>
  <c r="K34" i="6" s="1"/>
  <c r="E26" i="6"/>
  <c r="K26" i="6" s="1"/>
  <c r="E14" i="6"/>
  <c r="K14" i="6" s="1"/>
  <c r="E32" i="6"/>
  <c r="K32" i="6" s="1"/>
  <c r="G26" i="6"/>
  <c r="M26" i="6" s="1"/>
  <c r="E10" i="6"/>
  <c r="K10" i="6" s="1"/>
  <c r="G33" i="6"/>
  <c r="M33" i="6" s="1"/>
  <c r="G21" i="6"/>
  <c r="M21" i="6" s="1"/>
  <c r="L21" i="6" s="1"/>
  <c r="G36" i="5"/>
  <c r="M36" i="5" s="1"/>
  <c r="F32" i="5"/>
  <c r="F31" i="5"/>
  <c r="F37" i="5"/>
  <c r="E30" i="6"/>
  <c r="K30" i="6" s="1"/>
  <c r="F28" i="5"/>
  <c r="E31" i="6"/>
  <c r="K31" i="6" s="1"/>
  <c r="F36" i="5"/>
  <c r="E27" i="6"/>
  <c r="K27" i="6" s="1"/>
  <c r="F35" i="5"/>
  <c r="F22" i="5"/>
  <c r="F25" i="5"/>
  <c r="F23" i="5"/>
  <c r="F24" i="5"/>
  <c r="F13" i="5"/>
  <c r="E15" i="5"/>
  <c r="F9" i="5"/>
  <c r="AB8" i="23" l="1"/>
  <c r="AB20" i="22"/>
  <c r="AA8" i="18"/>
  <c r="AA20" i="17"/>
  <c r="AB20" i="21"/>
  <c r="U20" i="3"/>
  <c r="V38" i="3"/>
  <c r="U17" i="3"/>
  <c r="F17" i="4" s="1"/>
  <c r="V18" i="3"/>
  <c r="G17" i="4"/>
  <c r="T18" i="5"/>
  <c r="E17" i="6"/>
  <c r="T15" i="5"/>
  <c r="U12" i="4"/>
  <c r="F12" i="5" s="1"/>
  <c r="G12" i="5"/>
  <c r="M12" i="5" s="1"/>
  <c r="L12" i="5" s="1"/>
  <c r="O13" i="5"/>
  <c r="S13" i="5"/>
  <c r="Q13" i="5"/>
  <c r="T14" i="6"/>
  <c r="E14" i="7" s="1"/>
  <c r="K14" i="7" s="1"/>
  <c r="O9" i="5"/>
  <c r="Q9" i="5"/>
  <c r="S9" i="5"/>
  <c r="V13" i="5"/>
  <c r="U13" i="5" s="1"/>
  <c r="V9" i="5"/>
  <c r="U9" i="5" s="1"/>
  <c r="T10" i="6"/>
  <c r="V11" i="5"/>
  <c r="G11" i="6" s="1"/>
  <c r="M11" i="6" s="1"/>
  <c r="G10" i="5"/>
  <c r="M10" i="5" s="1"/>
  <c r="L10" i="5" s="1"/>
  <c r="U10" i="4"/>
  <c r="F10" i="5" s="1"/>
  <c r="U14" i="4"/>
  <c r="F14" i="5" s="1"/>
  <c r="G14" i="5"/>
  <c r="M14" i="5" s="1"/>
  <c r="L14" i="5" s="1"/>
  <c r="S11" i="5"/>
  <c r="Q11" i="5"/>
  <c r="O11" i="5"/>
  <c r="T32" i="6"/>
  <c r="U32" i="6" s="1"/>
  <c r="L32" i="6"/>
  <c r="O29" i="6"/>
  <c r="Q29" i="6"/>
  <c r="S29" i="6"/>
  <c r="S21" i="6"/>
  <c r="Q21" i="6"/>
  <c r="O21" i="6"/>
  <c r="V21" i="6"/>
  <c r="U21" i="6"/>
  <c r="T30" i="6"/>
  <c r="L30" i="6"/>
  <c r="T26" i="6"/>
  <c r="L26" i="6"/>
  <c r="S22" i="5"/>
  <c r="Q22" i="5"/>
  <c r="O22" i="5"/>
  <c r="L31" i="6"/>
  <c r="T31" i="6"/>
  <c r="U29" i="6"/>
  <c r="V29" i="6"/>
  <c r="V22" i="5"/>
  <c r="U22" i="5"/>
  <c r="T27" i="6"/>
  <c r="L27" i="6"/>
  <c r="L34" i="6"/>
  <c r="T34" i="6"/>
  <c r="E34" i="7" s="1"/>
  <c r="K34" i="7" s="1"/>
  <c r="S36" i="6"/>
  <c r="O36" i="6"/>
  <c r="Q36" i="6"/>
  <c r="S33" i="6"/>
  <c r="O33" i="6"/>
  <c r="Q33" i="6"/>
  <c r="U36" i="6"/>
  <c r="V36" i="6"/>
  <c r="U33" i="6"/>
  <c r="V33" i="6"/>
  <c r="G33" i="7" s="1"/>
  <c r="M33" i="7" s="1"/>
  <c r="E13" i="6"/>
  <c r="K13" i="6" s="1"/>
  <c r="E20" i="5"/>
  <c r="E33" i="7"/>
  <c r="K33" i="7" s="1"/>
  <c r="E11" i="6"/>
  <c r="K11" i="6" s="1"/>
  <c r="E12" i="7"/>
  <c r="K12" i="7" s="1"/>
  <c r="E21" i="7"/>
  <c r="K21" i="7" s="1"/>
  <c r="E8" i="7"/>
  <c r="K8" i="7" s="1"/>
  <c r="F21" i="6"/>
  <c r="F26" i="6"/>
  <c r="F33" i="6"/>
  <c r="G29" i="6"/>
  <c r="M29" i="6" s="1"/>
  <c r="G27" i="6"/>
  <c r="M27" i="6" s="1"/>
  <c r="F34" i="6"/>
  <c r="G31" i="6"/>
  <c r="M31" i="6" s="1"/>
  <c r="G20" i="4"/>
  <c r="M20" i="4" s="1"/>
  <c r="E37" i="6"/>
  <c r="K37" i="6" s="1"/>
  <c r="E35" i="6"/>
  <c r="K35" i="6" s="1"/>
  <c r="E28" i="6"/>
  <c r="K28" i="6" s="1"/>
  <c r="E24" i="6"/>
  <c r="K24" i="6" s="1"/>
  <c r="E23" i="6"/>
  <c r="K23" i="6" s="1"/>
  <c r="E25" i="6"/>
  <c r="K25" i="6" s="1"/>
  <c r="E36" i="7"/>
  <c r="K36" i="7" s="1"/>
  <c r="AB8" i="24" l="1"/>
  <c r="AB20" i="23"/>
  <c r="AA8" i="19"/>
  <c r="AA20" i="18"/>
  <c r="M38" i="4"/>
  <c r="L20" i="4"/>
  <c r="M17" i="4"/>
  <c r="G18" i="4"/>
  <c r="E18" i="6"/>
  <c r="K17" i="6"/>
  <c r="U11" i="5"/>
  <c r="F11" i="6" s="1"/>
  <c r="G13" i="6"/>
  <c r="M13" i="6" s="1"/>
  <c r="L13" i="6" s="1"/>
  <c r="K20" i="5"/>
  <c r="E38" i="5"/>
  <c r="E39" i="5" s="1"/>
  <c r="V12" i="5"/>
  <c r="Q12" i="5"/>
  <c r="O12" i="5"/>
  <c r="S12" i="5"/>
  <c r="T13" i="6"/>
  <c r="E13" i="7" s="1"/>
  <c r="K13" i="7" s="1"/>
  <c r="T14" i="7"/>
  <c r="T12" i="7"/>
  <c r="O14" i="5"/>
  <c r="S14" i="5"/>
  <c r="Q14" i="5"/>
  <c r="V14" i="5"/>
  <c r="L11" i="6"/>
  <c r="T11" i="6"/>
  <c r="T8" i="7"/>
  <c r="E8" i="8" s="1"/>
  <c r="K8" i="8" s="1"/>
  <c r="Q10" i="5"/>
  <c r="S10" i="5"/>
  <c r="O10" i="5"/>
  <c r="V10" i="5"/>
  <c r="L28" i="6"/>
  <c r="T28" i="6"/>
  <c r="T21" i="7"/>
  <c r="S30" i="6"/>
  <c r="Q30" i="6"/>
  <c r="O30" i="6"/>
  <c r="V30" i="6"/>
  <c r="U30" i="6"/>
  <c r="T36" i="7"/>
  <c r="L36" i="7"/>
  <c r="L34" i="7"/>
  <c r="T34" i="7"/>
  <c r="L25" i="6"/>
  <c r="T25" i="6"/>
  <c r="O34" i="6"/>
  <c r="S34" i="6"/>
  <c r="Q34" i="6"/>
  <c r="U34" i="6"/>
  <c r="V34" i="6"/>
  <c r="G34" i="7" s="1"/>
  <c r="M34" i="7" s="1"/>
  <c r="T23" i="6"/>
  <c r="L23" i="6"/>
  <c r="T33" i="7"/>
  <c r="L33" i="7"/>
  <c r="S27" i="6"/>
  <c r="O27" i="6"/>
  <c r="Q27" i="6"/>
  <c r="V31" i="6"/>
  <c r="U31" i="6"/>
  <c r="O26" i="6"/>
  <c r="S26" i="6"/>
  <c r="Q26" i="6"/>
  <c r="V32" i="6"/>
  <c r="Q32" i="6"/>
  <c r="S32" i="6"/>
  <c r="O32" i="6"/>
  <c r="T35" i="6"/>
  <c r="L35" i="6"/>
  <c r="L37" i="6"/>
  <c r="T37" i="6"/>
  <c r="T24" i="6"/>
  <c r="L24" i="6"/>
  <c r="U27" i="6"/>
  <c r="V27" i="6"/>
  <c r="O31" i="6"/>
  <c r="Q31" i="6"/>
  <c r="S31" i="6"/>
  <c r="U26" i="6"/>
  <c r="F26" i="7" s="1"/>
  <c r="V26" i="6"/>
  <c r="G26" i="7" s="1"/>
  <c r="M26" i="7" s="1"/>
  <c r="E26" i="7"/>
  <c r="K26" i="7" s="1"/>
  <c r="E10" i="7"/>
  <c r="K10" i="7" s="1"/>
  <c r="E32" i="7"/>
  <c r="K32" i="7" s="1"/>
  <c r="F27" i="6"/>
  <c r="F29" i="6"/>
  <c r="G35" i="6"/>
  <c r="M35" i="6" s="1"/>
  <c r="G28" i="6"/>
  <c r="M28" i="6" s="1"/>
  <c r="G30" i="6"/>
  <c r="M30" i="6" s="1"/>
  <c r="F31" i="6"/>
  <c r="G37" i="6"/>
  <c r="M37" i="6" s="1"/>
  <c r="F13" i="6"/>
  <c r="G32" i="6"/>
  <c r="M32" i="6" s="1"/>
  <c r="G36" i="6"/>
  <c r="M36" i="6" s="1"/>
  <c r="G38" i="4"/>
  <c r="F20" i="4"/>
  <c r="E29" i="7"/>
  <c r="K29" i="7" s="1"/>
  <c r="F33" i="7"/>
  <c r="E22" i="6"/>
  <c r="K22" i="6" s="1"/>
  <c r="E9" i="6"/>
  <c r="K9" i="6" s="1"/>
  <c r="AB8" i="25" l="1"/>
  <c r="AB20" i="24"/>
  <c r="AA8" i="20"/>
  <c r="AA20" i="19"/>
  <c r="Q20" i="4"/>
  <c r="Q38" i="4" s="1"/>
  <c r="V20" i="4"/>
  <c r="S20" i="4"/>
  <c r="S38" i="4" s="1"/>
  <c r="O20" i="4"/>
  <c r="O38" i="4" s="1"/>
  <c r="M18" i="4"/>
  <c r="L17" i="4"/>
  <c r="T17" i="6"/>
  <c r="K18" i="6"/>
  <c r="K38" i="5"/>
  <c r="K39" i="5" s="1"/>
  <c r="T20" i="5"/>
  <c r="U12" i="5"/>
  <c r="F12" i="6" s="1"/>
  <c r="G12" i="6"/>
  <c r="M12" i="6" s="1"/>
  <c r="L12" i="6" s="1"/>
  <c r="U14" i="5"/>
  <c r="F14" i="6" s="1"/>
  <c r="G14" i="6"/>
  <c r="M14" i="6" s="1"/>
  <c r="L14" i="6" s="1"/>
  <c r="O13" i="6"/>
  <c r="S13" i="6"/>
  <c r="Q13" i="6"/>
  <c r="V13" i="6"/>
  <c r="G13" i="7" s="1"/>
  <c r="M13" i="7" s="1"/>
  <c r="L13" i="7" s="1"/>
  <c r="G10" i="6"/>
  <c r="M10" i="6" s="1"/>
  <c r="L10" i="6" s="1"/>
  <c r="U10" i="5"/>
  <c r="F10" i="6" s="1"/>
  <c r="T8" i="8"/>
  <c r="V11" i="6"/>
  <c r="G11" i="7" s="1"/>
  <c r="M11" i="7" s="1"/>
  <c r="T9" i="6"/>
  <c r="K15" i="6"/>
  <c r="T13" i="7"/>
  <c r="T10" i="7"/>
  <c r="S11" i="6"/>
  <c r="Q11" i="6"/>
  <c r="O11" i="6"/>
  <c r="T26" i="7"/>
  <c r="L26" i="7"/>
  <c r="V35" i="6"/>
  <c r="U35" i="6"/>
  <c r="U34" i="7"/>
  <c r="V34" i="7"/>
  <c r="Q35" i="6"/>
  <c r="S35" i="6"/>
  <c r="O35" i="6"/>
  <c r="S24" i="6"/>
  <c r="O24" i="6"/>
  <c r="Q24" i="6"/>
  <c r="S33" i="7"/>
  <c r="O33" i="7"/>
  <c r="Q33" i="7"/>
  <c r="Q34" i="7"/>
  <c r="O34" i="7"/>
  <c r="S34" i="7"/>
  <c r="U24" i="6"/>
  <c r="V24" i="6"/>
  <c r="V33" i="7"/>
  <c r="U33" i="7"/>
  <c r="S36" i="7"/>
  <c r="O36" i="7"/>
  <c r="Q36" i="7"/>
  <c r="L22" i="6"/>
  <c r="T22" i="6"/>
  <c r="U37" i="6"/>
  <c r="V37" i="6"/>
  <c r="Q23" i="6"/>
  <c r="O23" i="6"/>
  <c r="S23" i="6"/>
  <c r="U36" i="7"/>
  <c r="V36" i="7"/>
  <c r="U28" i="6"/>
  <c r="V28" i="6"/>
  <c r="L29" i="7"/>
  <c r="T29" i="7"/>
  <c r="S25" i="6"/>
  <c r="Q25" i="6"/>
  <c r="O25" i="6"/>
  <c r="L32" i="7"/>
  <c r="T32" i="7"/>
  <c r="E32" i="8" s="1"/>
  <c r="K32" i="8" s="1"/>
  <c r="O37" i="6"/>
  <c r="Q37" i="6"/>
  <c r="S37" i="6"/>
  <c r="U23" i="6"/>
  <c r="V23" i="6"/>
  <c r="V25" i="6"/>
  <c r="U25" i="6"/>
  <c r="Q28" i="6"/>
  <c r="S28" i="6"/>
  <c r="O28" i="6"/>
  <c r="E11" i="7"/>
  <c r="K11" i="7" s="1"/>
  <c r="E12" i="8"/>
  <c r="K12" i="8" s="1"/>
  <c r="E21" i="8"/>
  <c r="K21" i="8" s="1"/>
  <c r="E14" i="8"/>
  <c r="K14" i="8" s="1"/>
  <c r="E33" i="8"/>
  <c r="K33" i="8" s="1"/>
  <c r="G25" i="6"/>
  <c r="M25" i="6" s="1"/>
  <c r="G23" i="6"/>
  <c r="M23" i="6" s="1"/>
  <c r="F36" i="6"/>
  <c r="F30" i="6"/>
  <c r="F32" i="6"/>
  <c r="G24" i="6"/>
  <c r="M24" i="6" s="1"/>
  <c r="F28" i="6"/>
  <c r="F35" i="6"/>
  <c r="F37" i="6"/>
  <c r="G9" i="6"/>
  <c r="M9" i="6" s="1"/>
  <c r="L9" i="6" s="1"/>
  <c r="G20" i="5"/>
  <c r="M20" i="5" s="1"/>
  <c r="E15" i="6"/>
  <c r="E27" i="7"/>
  <c r="K27" i="7" s="1"/>
  <c r="G30" i="7"/>
  <c r="M30" i="7" s="1"/>
  <c r="G29" i="7"/>
  <c r="M29" i="7" s="1"/>
  <c r="E30" i="7"/>
  <c r="K30" i="7" s="1"/>
  <c r="E31" i="7"/>
  <c r="K31" i="7" s="1"/>
  <c r="F34" i="7"/>
  <c r="G21" i="7"/>
  <c r="M21" i="7" s="1"/>
  <c r="L21" i="7" s="1"/>
  <c r="AB8" i="26" l="1"/>
  <c r="AB20" i="25"/>
  <c r="AA8" i="21"/>
  <c r="AA20" i="20"/>
  <c r="S21" i="7"/>
  <c r="Q21" i="7"/>
  <c r="O21" i="7"/>
  <c r="V21" i="7"/>
  <c r="U21" i="7" s="1"/>
  <c r="M38" i="5"/>
  <c r="L20" i="5"/>
  <c r="U20" i="4"/>
  <c r="V38" i="4"/>
  <c r="V17" i="4"/>
  <c r="O17" i="4"/>
  <c r="O18" i="4" s="1"/>
  <c r="S17" i="4"/>
  <c r="S18" i="4" s="1"/>
  <c r="Q17" i="4"/>
  <c r="Q18" i="4" s="1"/>
  <c r="T18" i="6"/>
  <c r="E17" i="7"/>
  <c r="T38" i="5"/>
  <c r="T39" i="5" s="1"/>
  <c r="V20" i="5"/>
  <c r="U11" i="6"/>
  <c r="F11" i="7" s="1"/>
  <c r="U13" i="6"/>
  <c r="F13" i="7" s="1"/>
  <c r="O12" i="6"/>
  <c r="Q12" i="6"/>
  <c r="V12" i="6"/>
  <c r="S12" i="6"/>
  <c r="S9" i="6"/>
  <c r="O9" i="6"/>
  <c r="Q9" i="6"/>
  <c r="O13" i="7"/>
  <c r="S13" i="7"/>
  <c r="Q13" i="7"/>
  <c r="T14" i="8"/>
  <c r="V13" i="7"/>
  <c r="U13" i="7" s="1"/>
  <c r="L11" i="7"/>
  <c r="T11" i="7"/>
  <c r="S14" i="6"/>
  <c r="Q14" i="6"/>
  <c r="O14" i="6"/>
  <c r="V14" i="6"/>
  <c r="T12" i="8"/>
  <c r="V9" i="6"/>
  <c r="U9" i="6" s="1"/>
  <c r="T15" i="6"/>
  <c r="O10" i="6"/>
  <c r="S10" i="6"/>
  <c r="Q10" i="6"/>
  <c r="V10" i="6"/>
  <c r="V22" i="6"/>
  <c r="U22" i="6"/>
  <c r="L31" i="7"/>
  <c r="T31" i="7"/>
  <c r="T33" i="8"/>
  <c r="L33" i="8"/>
  <c r="L32" i="8"/>
  <c r="T32" i="8"/>
  <c r="U32" i="7"/>
  <c r="V32" i="7"/>
  <c r="S29" i="7"/>
  <c r="Q29" i="7"/>
  <c r="O29" i="7"/>
  <c r="S22" i="6"/>
  <c r="O22" i="6"/>
  <c r="Q22" i="6"/>
  <c r="O26" i="7"/>
  <c r="Q26" i="7"/>
  <c r="S26" i="7"/>
  <c r="T21" i="8"/>
  <c r="U29" i="7"/>
  <c r="V29" i="7"/>
  <c r="O32" i="7"/>
  <c r="S32" i="7"/>
  <c r="Q32" i="7"/>
  <c r="V26" i="7"/>
  <c r="U26" i="7"/>
  <c r="T30" i="7"/>
  <c r="L30" i="7"/>
  <c r="T27" i="7"/>
  <c r="L27" i="7"/>
  <c r="E36" i="8"/>
  <c r="K36" i="8" s="1"/>
  <c r="E20" i="6"/>
  <c r="E10" i="8"/>
  <c r="K10" i="8" s="1"/>
  <c r="E13" i="8"/>
  <c r="K13" i="8" s="1"/>
  <c r="E8" i="9"/>
  <c r="K8" i="9" s="1"/>
  <c r="F32" i="7"/>
  <c r="G32" i="7"/>
  <c r="M32" i="7" s="1"/>
  <c r="F36" i="7"/>
  <c r="G36" i="7"/>
  <c r="M36" i="7" s="1"/>
  <c r="F23" i="6"/>
  <c r="F24" i="6"/>
  <c r="G22" i="6"/>
  <c r="M22" i="6" s="1"/>
  <c r="F25" i="6"/>
  <c r="F9" i="6"/>
  <c r="G38" i="5"/>
  <c r="F20" i="5"/>
  <c r="E37" i="7"/>
  <c r="K37" i="7" s="1"/>
  <c r="F30" i="7"/>
  <c r="E28" i="7"/>
  <c r="K28" i="7" s="1"/>
  <c r="G31" i="7"/>
  <c r="M31" i="7" s="1"/>
  <c r="F29" i="7"/>
  <c r="G35" i="7"/>
  <c r="M35" i="7" s="1"/>
  <c r="G27" i="7"/>
  <c r="M27" i="7" s="1"/>
  <c r="E35" i="7"/>
  <c r="K35" i="7" s="1"/>
  <c r="G28" i="7"/>
  <c r="M28" i="7" s="1"/>
  <c r="E34" i="8"/>
  <c r="K34" i="8" s="1"/>
  <c r="E24" i="7"/>
  <c r="K24" i="7" s="1"/>
  <c r="E26" i="8"/>
  <c r="K26" i="8" s="1"/>
  <c r="F21" i="7"/>
  <c r="E25" i="7"/>
  <c r="K25" i="7" s="1"/>
  <c r="E23" i="7"/>
  <c r="K23" i="7" s="1"/>
  <c r="AA20" i="21" l="1"/>
  <c r="AA8" i="22"/>
  <c r="AB20" i="26"/>
  <c r="AB8" i="27"/>
  <c r="V38" i="5"/>
  <c r="U20" i="5"/>
  <c r="S20" i="5"/>
  <c r="S38" i="5" s="1"/>
  <c r="Q20" i="5"/>
  <c r="Q38" i="5" s="1"/>
  <c r="O20" i="5"/>
  <c r="O38" i="5" s="1"/>
  <c r="U17" i="4"/>
  <c r="F17" i="5" s="1"/>
  <c r="V18" i="4"/>
  <c r="G17" i="5"/>
  <c r="K17" i="7"/>
  <c r="E18" i="7"/>
  <c r="K20" i="6"/>
  <c r="E38" i="6"/>
  <c r="E39" i="6" s="1"/>
  <c r="U12" i="6"/>
  <c r="F12" i="7" s="1"/>
  <c r="G12" i="7"/>
  <c r="M12" i="7" s="1"/>
  <c r="L12" i="7" s="1"/>
  <c r="G14" i="7"/>
  <c r="M14" i="7" s="1"/>
  <c r="L14" i="7" s="1"/>
  <c r="U14" i="6"/>
  <c r="F14" i="7" s="1"/>
  <c r="T10" i="8"/>
  <c r="G10" i="7"/>
  <c r="M10" i="7" s="1"/>
  <c r="L10" i="7" s="1"/>
  <c r="U10" i="6"/>
  <c r="F10" i="7" s="1"/>
  <c r="T13" i="8"/>
  <c r="T8" i="9"/>
  <c r="V11" i="7"/>
  <c r="U11" i="7" s="1"/>
  <c r="Q11" i="7"/>
  <c r="O11" i="7"/>
  <c r="S11" i="7"/>
  <c r="L26" i="8"/>
  <c r="T26" i="8"/>
  <c r="S27" i="7"/>
  <c r="Q27" i="7"/>
  <c r="O27" i="7"/>
  <c r="S30" i="7"/>
  <c r="O30" i="7"/>
  <c r="Q30" i="7"/>
  <c r="S31" i="7"/>
  <c r="O31" i="7"/>
  <c r="Q31" i="7"/>
  <c r="U27" i="7"/>
  <c r="V27" i="7"/>
  <c r="U30" i="7"/>
  <c r="V30" i="7"/>
  <c r="U32" i="8"/>
  <c r="V32" i="8"/>
  <c r="O32" i="8"/>
  <c r="Q32" i="8"/>
  <c r="S32" i="8"/>
  <c r="T24" i="7"/>
  <c r="L24" i="7"/>
  <c r="L23" i="7"/>
  <c r="T23" i="7"/>
  <c r="T36" i="8"/>
  <c r="L36" i="8"/>
  <c r="O33" i="8"/>
  <c r="S33" i="8"/>
  <c r="Q33" i="8"/>
  <c r="L34" i="8"/>
  <c r="T34" i="8"/>
  <c r="K38" i="6"/>
  <c r="L28" i="7"/>
  <c r="T28" i="7"/>
  <c r="V33" i="8"/>
  <c r="U33" i="8"/>
  <c r="L25" i="7"/>
  <c r="T25" i="7"/>
  <c r="L35" i="7"/>
  <c r="T35" i="7"/>
  <c r="L37" i="7"/>
  <c r="T37" i="7"/>
  <c r="V31" i="7"/>
  <c r="U31" i="7"/>
  <c r="E12" i="9"/>
  <c r="K12" i="9" s="1"/>
  <c r="E9" i="7"/>
  <c r="K9" i="7" s="1"/>
  <c r="E11" i="8"/>
  <c r="K11" i="8" s="1"/>
  <c r="E14" i="9"/>
  <c r="K14" i="9" s="1"/>
  <c r="E33" i="9"/>
  <c r="K33" i="9" s="1"/>
  <c r="F22" i="6"/>
  <c r="G37" i="7"/>
  <c r="M37" i="7" s="1"/>
  <c r="E29" i="8"/>
  <c r="K29" i="8" s="1"/>
  <c r="F27" i="7"/>
  <c r="F31" i="7"/>
  <c r="F28" i="7"/>
  <c r="F35" i="7"/>
  <c r="E21" i="9"/>
  <c r="K21" i="9" s="1"/>
  <c r="G25" i="7"/>
  <c r="M25" i="7" s="1"/>
  <c r="G22" i="7"/>
  <c r="M22" i="7" s="1"/>
  <c r="E22" i="7"/>
  <c r="K22" i="7" s="1"/>
  <c r="G23" i="7"/>
  <c r="M23" i="7" s="1"/>
  <c r="G24" i="7"/>
  <c r="M24" i="7" s="1"/>
  <c r="AB8" i="28" l="1"/>
  <c r="AB20" i="27"/>
  <c r="AA8" i="23"/>
  <c r="AA20" i="22"/>
  <c r="M17" i="5"/>
  <c r="G18" i="5"/>
  <c r="K39" i="6"/>
  <c r="T20" i="6"/>
  <c r="T17" i="7"/>
  <c r="K18" i="7"/>
  <c r="S12" i="7"/>
  <c r="O12" i="7"/>
  <c r="Q12" i="7"/>
  <c r="V12" i="7"/>
  <c r="U12" i="7" s="1"/>
  <c r="T14" i="9"/>
  <c r="T12" i="9"/>
  <c r="T11" i="8"/>
  <c r="T9" i="7"/>
  <c r="K15" i="7"/>
  <c r="O10" i="7"/>
  <c r="S10" i="7"/>
  <c r="Q10" i="7"/>
  <c r="V10" i="7"/>
  <c r="U10" i="7" s="1"/>
  <c r="S14" i="7"/>
  <c r="O14" i="7"/>
  <c r="Q14" i="7"/>
  <c r="V14" i="7"/>
  <c r="U14" i="7" s="1"/>
  <c r="L29" i="8"/>
  <c r="T29" i="8"/>
  <c r="V23" i="7"/>
  <c r="U23" i="7"/>
  <c r="Q34" i="8"/>
  <c r="O34" i="8"/>
  <c r="S34" i="8"/>
  <c r="V25" i="7"/>
  <c r="U25" i="7"/>
  <c r="Q25" i="7"/>
  <c r="O25" i="7"/>
  <c r="S25" i="7"/>
  <c r="Q23" i="7"/>
  <c r="O23" i="7"/>
  <c r="S23" i="7"/>
  <c r="Q35" i="7"/>
  <c r="O35" i="7"/>
  <c r="S35" i="7"/>
  <c r="V37" i="7"/>
  <c r="U37" i="7"/>
  <c r="T38" i="6"/>
  <c r="T39" i="6" s="1"/>
  <c r="S24" i="7"/>
  <c r="Q24" i="7"/>
  <c r="O24" i="7"/>
  <c r="S28" i="7"/>
  <c r="Q28" i="7"/>
  <c r="O28" i="7"/>
  <c r="T21" i="9"/>
  <c r="T33" i="9"/>
  <c r="L33" i="9"/>
  <c r="Q37" i="7"/>
  <c r="O37" i="7"/>
  <c r="S37" i="7"/>
  <c r="V24" i="7"/>
  <c r="U24" i="7"/>
  <c r="V26" i="8"/>
  <c r="U26" i="8"/>
  <c r="V36" i="8"/>
  <c r="U36" i="8"/>
  <c r="L22" i="7"/>
  <c r="T22" i="7"/>
  <c r="V35" i="7"/>
  <c r="U35" i="7"/>
  <c r="U28" i="7"/>
  <c r="V28" i="7"/>
  <c r="V34" i="8"/>
  <c r="U34" i="8"/>
  <c r="S36" i="8"/>
  <c r="O36" i="8"/>
  <c r="Q36" i="8"/>
  <c r="Q26" i="8"/>
  <c r="O26" i="8"/>
  <c r="S26" i="8"/>
  <c r="E15" i="7"/>
  <c r="E10" i="9"/>
  <c r="K10" i="9" s="1"/>
  <c r="E13" i="9"/>
  <c r="K13" i="9" s="1"/>
  <c r="E8" i="10"/>
  <c r="K8" i="10" s="1"/>
  <c r="F9" i="7"/>
  <c r="G9" i="7"/>
  <c r="M9" i="7" s="1"/>
  <c r="L9" i="7" s="1"/>
  <c r="F37" i="7"/>
  <c r="E27" i="8"/>
  <c r="K27" i="8" s="1"/>
  <c r="E31" i="8"/>
  <c r="K31" i="8" s="1"/>
  <c r="E32" i="9"/>
  <c r="K32" i="9" s="1"/>
  <c r="E30" i="8"/>
  <c r="K30" i="8" s="1"/>
  <c r="F22" i="7"/>
  <c r="F23" i="7"/>
  <c r="F25" i="7"/>
  <c r="F24" i="7"/>
  <c r="E36" i="9"/>
  <c r="K36" i="9" s="1"/>
  <c r="AA8" i="24" l="1"/>
  <c r="AA20" i="23"/>
  <c r="AB8" i="29"/>
  <c r="AB20" i="28"/>
  <c r="M18" i="5"/>
  <c r="L17" i="5"/>
  <c r="T18" i="7"/>
  <c r="E17" i="8"/>
  <c r="O9" i="7"/>
  <c r="S9" i="7"/>
  <c r="Q9" i="7"/>
  <c r="T13" i="9"/>
  <c r="T8" i="10"/>
  <c r="E8" i="11" s="1"/>
  <c r="K8" i="11" s="1"/>
  <c r="T10" i="9"/>
  <c r="V9" i="7"/>
  <c r="U9" i="7" s="1"/>
  <c r="T15" i="7"/>
  <c r="S33" i="9"/>
  <c r="O33" i="9"/>
  <c r="Q33" i="9"/>
  <c r="T36" i="9"/>
  <c r="L36" i="9"/>
  <c r="V22" i="7"/>
  <c r="U22" i="7"/>
  <c r="V33" i="9"/>
  <c r="U33" i="9"/>
  <c r="V29" i="8"/>
  <c r="U29" i="8"/>
  <c r="T32" i="9"/>
  <c r="L32" i="9"/>
  <c r="L31" i="8"/>
  <c r="T31" i="8"/>
  <c r="Q22" i="7"/>
  <c r="O22" i="7"/>
  <c r="S22" i="7"/>
  <c r="Q29" i="8"/>
  <c r="O29" i="8"/>
  <c r="S29" i="8"/>
  <c r="T30" i="8"/>
  <c r="L30" i="8"/>
  <c r="T27" i="8"/>
  <c r="L27" i="8"/>
  <c r="E33" i="10"/>
  <c r="K33" i="10" s="1"/>
  <c r="E11" i="9"/>
  <c r="K11" i="9" s="1"/>
  <c r="E20" i="7"/>
  <c r="E12" i="10"/>
  <c r="K12" i="10" s="1"/>
  <c r="E14" i="10"/>
  <c r="K14" i="10" s="1"/>
  <c r="G20" i="6"/>
  <c r="E37" i="8"/>
  <c r="K37" i="8" s="1"/>
  <c r="E34" i="9"/>
  <c r="K34" i="9" s="1"/>
  <c r="E28" i="8"/>
  <c r="K28" i="8" s="1"/>
  <c r="E35" i="8"/>
  <c r="K35" i="8" s="1"/>
  <c r="E25" i="8"/>
  <c r="K25" i="8" s="1"/>
  <c r="E23" i="8"/>
  <c r="K23" i="8" s="1"/>
  <c r="E26" i="9"/>
  <c r="K26" i="9" s="1"/>
  <c r="E24" i="8"/>
  <c r="K24" i="8" s="1"/>
  <c r="E9" i="8"/>
  <c r="K9" i="8" s="1"/>
  <c r="AB8" i="30" l="1"/>
  <c r="AB20" i="29"/>
  <c r="AA20" i="24"/>
  <c r="AA8" i="25"/>
  <c r="V17" i="5"/>
  <c r="S17" i="5"/>
  <c r="S18" i="5" s="1"/>
  <c r="O17" i="5"/>
  <c r="O18" i="5" s="1"/>
  <c r="Q17" i="5"/>
  <c r="Q18" i="5" s="1"/>
  <c r="K17" i="8"/>
  <c r="E18" i="8"/>
  <c r="K20" i="7"/>
  <c r="K38" i="7" s="1"/>
  <c r="K39" i="7" s="1"/>
  <c r="E38" i="7"/>
  <c r="E39" i="7" s="1"/>
  <c r="T8" i="11"/>
  <c r="T14" i="10"/>
  <c r="T11" i="9"/>
  <c r="T9" i="8"/>
  <c r="K15" i="8"/>
  <c r="T12" i="10"/>
  <c r="L23" i="8"/>
  <c r="T23" i="8"/>
  <c r="U32" i="9"/>
  <c r="V32" i="9"/>
  <c r="G38" i="6"/>
  <c r="M20" i="6"/>
  <c r="O30" i="8"/>
  <c r="Q30" i="8"/>
  <c r="S30" i="8"/>
  <c r="U31" i="8"/>
  <c r="V31" i="8"/>
  <c r="L25" i="8"/>
  <c r="T25" i="8"/>
  <c r="S27" i="8"/>
  <c r="Q27" i="8"/>
  <c r="O27" i="8"/>
  <c r="V30" i="8"/>
  <c r="U30" i="8"/>
  <c r="O31" i="8"/>
  <c r="S31" i="8"/>
  <c r="Q31" i="8"/>
  <c r="S36" i="9"/>
  <c r="O36" i="9"/>
  <c r="Q36" i="9"/>
  <c r="L35" i="8"/>
  <c r="T35" i="8"/>
  <c r="V27" i="8"/>
  <c r="U27" i="8"/>
  <c r="L28" i="8"/>
  <c r="T28" i="8"/>
  <c r="T24" i="8"/>
  <c r="L24" i="8"/>
  <c r="L34" i="9"/>
  <c r="T34" i="9"/>
  <c r="T26" i="9"/>
  <c r="L26" i="9"/>
  <c r="L37" i="8"/>
  <c r="T37" i="8"/>
  <c r="T33" i="10"/>
  <c r="L33" i="10"/>
  <c r="Q32" i="9"/>
  <c r="S32" i="9"/>
  <c r="O32" i="9"/>
  <c r="V36" i="9"/>
  <c r="U36" i="9"/>
  <c r="E13" i="10"/>
  <c r="K13" i="10" s="1"/>
  <c r="E10" i="10"/>
  <c r="K10" i="10" s="1"/>
  <c r="F20" i="6"/>
  <c r="E29" i="9"/>
  <c r="K29" i="9" s="1"/>
  <c r="E21" i="10"/>
  <c r="K21" i="10" s="1"/>
  <c r="E22" i="8"/>
  <c r="K22" i="8" s="1"/>
  <c r="E15" i="8"/>
  <c r="AA8" i="26" l="1"/>
  <c r="AA20" i="25"/>
  <c r="AB8" i="31"/>
  <c r="AB20" i="31" s="1"/>
  <c r="AB20" i="30"/>
  <c r="M38" i="6"/>
  <c r="L20" i="6"/>
  <c r="U17" i="5"/>
  <c r="F17" i="6" s="1"/>
  <c r="V18" i="5"/>
  <c r="G17" i="6"/>
  <c r="T20" i="7"/>
  <c r="T17" i="8"/>
  <c r="K18" i="8"/>
  <c r="T15" i="8"/>
  <c r="T10" i="10"/>
  <c r="T13" i="10"/>
  <c r="V33" i="10"/>
  <c r="U33" i="10"/>
  <c r="U35" i="8"/>
  <c r="V35" i="8"/>
  <c r="V25" i="8"/>
  <c r="U25" i="8"/>
  <c r="S33" i="10"/>
  <c r="O33" i="10"/>
  <c r="Q33" i="10"/>
  <c r="V37" i="8"/>
  <c r="U37" i="8"/>
  <c r="S37" i="8"/>
  <c r="O37" i="8"/>
  <c r="Q37" i="8"/>
  <c r="S25" i="8"/>
  <c r="O25" i="8"/>
  <c r="Q25" i="8"/>
  <c r="U34" i="9"/>
  <c r="V34" i="9"/>
  <c r="O34" i="9"/>
  <c r="S34" i="9"/>
  <c r="Q34" i="9"/>
  <c r="S35" i="8"/>
  <c r="Q35" i="8"/>
  <c r="O35" i="8"/>
  <c r="V28" i="8"/>
  <c r="U28" i="8"/>
  <c r="V24" i="8"/>
  <c r="U24" i="8"/>
  <c r="S28" i="8"/>
  <c r="Q28" i="8"/>
  <c r="O28" i="8"/>
  <c r="O26" i="9"/>
  <c r="Q26" i="9"/>
  <c r="S26" i="9"/>
  <c r="U23" i="8"/>
  <c r="V23" i="8"/>
  <c r="L22" i="8"/>
  <c r="T22" i="8"/>
  <c r="T21" i="10"/>
  <c r="T29" i="9"/>
  <c r="L29" i="9"/>
  <c r="S24" i="8"/>
  <c r="O24" i="8"/>
  <c r="Q24" i="8"/>
  <c r="U26" i="9"/>
  <c r="V26" i="9"/>
  <c r="T38" i="7"/>
  <c r="T39" i="7" s="1"/>
  <c r="Q23" i="8"/>
  <c r="O23" i="8"/>
  <c r="S23" i="8"/>
  <c r="E14" i="11"/>
  <c r="K14" i="11" s="1"/>
  <c r="E12" i="11"/>
  <c r="K12" i="11" s="1"/>
  <c r="E11" i="10"/>
  <c r="K11" i="10" s="1"/>
  <c r="E36" i="10"/>
  <c r="K36" i="10" s="1"/>
  <c r="E33" i="11"/>
  <c r="K33" i="11" s="1"/>
  <c r="E8" i="12"/>
  <c r="K8" i="12" s="1"/>
  <c r="E27" i="9"/>
  <c r="K27" i="9" s="1"/>
  <c r="E31" i="9"/>
  <c r="K31" i="9" s="1"/>
  <c r="E30" i="9"/>
  <c r="K30" i="9" s="1"/>
  <c r="E32" i="10"/>
  <c r="K32" i="10" s="1"/>
  <c r="AA8" i="27" l="1"/>
  <c r="AA20" i="26"/>
  <c r="Q20" i="6"/>
  <c r="Q38" i="6" s="1"/>
  <c r="S20" i="6"/>
  <c r="S38" i="6" s="1"/>
  <c r="O20" i="6"/>
  <c r="O38" i="6" s="1"/>
  <c r="V20" i="6"/>
  <c r="M17" i="6"/>
  <c r="G18" i="6"/>
  <c r="T18" i="8"/>
  <c r="E17" i="9"/>
  <c r="T11" i="10"/>
  <c r="T8" i="12"/>
  <c r="T12" i="11"/>
  <c r="T14" i="11"/>
  <c r="V22" i="8"/>
  <c r="U22" i="8"/>
  <c r="L31" i="9"/>
  <c r="T31" i="9"/>
  <c r="O22" i="8"/>
  <c r="S22" i="8"/>
  <c r="Q22" i="8"/>
  <c r="V29" i="9"/>
  <c r="U29" i="9"/>
  <c r="T27" i="9"/>
  <c r="L27" i="9"/>
  <c r="T32" i="10"/>
  <c r="L32" i="10"/>
  <c r="T33" i="11"/>
  <c r="L33" i="11"/>
  <c r="T30" i="9"/>
  <c r="L30" i="9"/>
  <c r="T36" i="10"/>
  <c r="L36" i="10"/>
  <c r="S29" i="9"/>
  <c r="Q29" i="9"/>
  <c r="O29" i="9"/>
  <c r="E20" i="8"/>
  <c r="E10" i="11"/>
  <c r="K10" i="11" s="1"/>
  <c r="E13" i="11"/>
  <c r="K13" i="11" s="1"/>
  <c r="E37" i="9"/>
  <c r="K37" i="9" s="1"/>
  <c r="E34" i="10"/>
  <c r="K34" i="10" s="1"/>
  <c r="E28" i="9"/>
  <c r="K28" i="9" s="1"/>
  <c r="E35" i="9"/>
  <c r="K35" i="9" s="1"/>
  <c r="E23" i="9"/>
  <c r="K23" i="9" s="1"/>
  <c r="E25" i="9"/>
  <c r="K25" i="9" s="1"/>
  <c r="E24" i="9"/>
  <c r="K24" i="9" s="1"/>
  <c r="E26" i="10"/>
  <c r="K26" i="10" s="1"/>
  <c r="E9" i="9"/>
  <c r="K9" i="9" s="1"/>
  <c r="AA8" i="28" l="1"/>
  <c r="AA20" i="27"/>
  <c r="U20" i="6"/>
  <c r="F20" i="7" s="1"/>
  <c r="V38" i="6"/>
  <c r="G20" i="7"/>
  <c r="M20" i="7" s="1"/>
  <c r="M18" i="6"/>
  <c r="L17" i="6"/>
  <c r="K17" i="9"/>
  <c r="E18" i="9"/>
  <c r="K20" i="8"/>
  <c r="K38" i="8" s="1"/>
  <c r="K39" i="8" s="1"/>
  <c r="E38" i="8"/>
  <c r="E39" i="8" s="1"/>
  <c r="T13" i="11"/>
  <c r="T10" i="11"/>
  <c r="T9" i="9"/>
  <c r="K15" i="9"/>
  <c r="S30" i="9"/>
  <c r="O30" i="9"/>
  <c r="Q30" i="9"/>
  <c r="O32" i="10"/>
  <c r="S32" i="10"/>
  <c r="Q32" i="10"/>
  <c r="U30" i="9"/>
  <c r="V30" i="9"/>
  <c r="V32" i="10"/>
  <c r="U32" i="10"/>
  <c r="L35" i="9"/>
  <c r="T35" i="9"/>
  <c r="L28" i="9"/>
  <c r="T28" i="9"/>
  <c r="T34" i="10"/>
  <c r="L34" i="10"/>
  <c r="L37" i="9"/>
  <c r="T37" i="9"/>
  <c r="S36" i="10"/>
  <c r="O36" i="10"/>
  <c r="Q36" i="10"/>
  <c r="S33" i="11"/>
  <c r="Q33" i="11"/>
  <c r="O33" i="11"/>
  <c r="V27" i="9"/>
  <c r="U27" i="9"/>
  <c r="V31" i="9"/>
  <c r="U31" i="9"/>
  <c r="T23" i="9"/>
  <c r="L23" i="9"/>
  <c r="T26" i="10"/>
  <c r="L26" i="10"/>
  <c r="S27" i="9"/>
  <c r="O27" i="9"/>
  <c r="Q27" i="9"/>
  <c r="T24" i="9"/>
  <c r="L24" i="9"/>
  <c r="L25" i="9"/>
  <c r="T25" i="9"/>
  <c r="V36" i="10"/>
  <c r="U36" i="10"/>
  <c r="U33" i="11"/>
  <c r="V33" i="11"/>
  <c r="Q31" i="9"/>
  <c r="O31" i="9"/>
  <c r="S31" i="9"/>
  <c r="E12" i="12"/>
  <c r="K12" i="12" s="1"/>
  <c r="E14" i="12"/>
  <c r="K14" i="12" s="1"/>
  <c r="E11" i="11"/>
  <c r="K11" i="11" s="1"/>
  <c r="E33" i="12"/>
  <c r="K33" i="12" s="1"/>
  <c r="E29" i="10"/>
  <c r="K29" i="10" s="1"/>
  <c r="E21" i="11"/>
  <c r="K21" i="11" s="1"/>
  <c r="E22" i="9"/>
  <c r="K22" i="9" s="1"/>
  <c r="E15" i="9"/>
  <c r="E36" i="11"/>
  <c r="K36" i="11" s="1"/>
  <c r="AA8" i="29" l="1"/>
  <c r="AA20" i="28"/>
  <c r="M38" i="7"/>
  <c r="L20" i="7"/>
  <c r="V17" i="6"/>
  <c r="Q17" i="6"/>
  <c r="Q18" i="6" s="1"/>
  <c r="O17" i="6"/>
  <c r="O18" i="6" s="1"/>
  <c r="S17" i="6"/>
  <c r="S18" i="6" s="1"/>
  <c r="T20" i="8"/>
  <c r="T17" i="9"/>
  <c r="K18" i="9"/>
  <c r="T15" i="9"/>
  <c r="T14" i="12"/>
  <c r="T12" i="12"/>
  <c r="T11" i="11"/>
  <c r="T21" i="11"/>
  <c r="V23" i="9"/>
  <c r="U23" i="9"/>
  <c r="Q37" i="9"/>
  <c r="O37" i="9"/>
  <c r="S37" i="9"/>
  <c r="V35" i="9"/>
  <c r="U35" i="9"/>
  <c r="S34" i="10"/>
  <c r="Q34" i="10"/>
  <c r="O34" i="10"/>
  <c r="S35" i="9"/>
  <c r="O35" i="9"/>
  <c r="Q35" i="9"/>
  <c r="T29" i="10"/>
  <c r="L29" i="10"/>
  <c r="V25" i="9"/>
  <c r="U25" i="9"/>
  <c r="V34" i="10"/>
  <c r="U34" i="10"/>
  <c r="T33" i="12"/>
  <c r="L33" i="12"/>
  <c r="O25" i="9"/>
  <c r="Q25" i="9"/>
  <c r="S25" i="9"/>
  <c r="Q26" i="10"/>
  <c r="O26" i="10"/>
  <c r="S26" i="10"/>
  <c r="V28" i="9"/>
  <c r="U28" i="9"/>
  <c r="S24" i="9"/>
  <c r="O24" i="9"/>
  <c r="Q24" i="9"/>
  <c r="U26" i="10"/>
  <c r="V26" i="10"/>
  <c r="O28" i="9"/>
  <c r="Q28" i="9"/>
  <c r="S28" i="9"/>
  <c r="T36" i="11"/>
  <c r="L36" i="11"/>
  <c r="L22" i="9"/>
  <c r="T22" i="9"/>
  <c r="U24" i="9"/>
  <c r="V24" i="9"/>
  <c r="Q23" i="9"/>
  <c r="S23" i="9"/>
  <c r="O23" i="9"/>
  <c r="U37" i="9"/>
  <c r="V37" i="9"/>
  <c r="T38" i="8"/>
  <c r="T39" i="8" s="1"/>
  <c r="E10" i="12"/>
  <c r="K10" i="12" s="1"/>
  <c r="E13" i="12"/>
  <c r="K13" i="12" s="1"/>
  <c r="E8" i="13"/>
  <c r="K8" i="13" s="1"/>
  <c r="E30" i="10"/>
  <c r="K30" i="10" s="1"/>
  <c r="E31" i="10"/>
  <c r="K31" i="10" s="1"/>
  <c r="E27" i="10"/>
  <c r="K27" i="10" s="1"/>
  <c r="E32" i="11"/>
  <c r="K32" i="11" s="1"/>
  <c r="AA8" i="30" l="1"/>
  <c r="AA20" i="29"/>
  <c r="Q20" i="7"/>
  <c r="Q38" i="7" s="1"/>
  <c r="V20" i="7"/>
  <c r="O20" i="7"/>
  <c r="O38" i="7" s="1"/>
  <c r="S20" i="7"/>
  <c r="S38" i="7" s="1"/>
  <c r="U17" i="6"/>
  <c r="F17" i="7" s="1"/>
  <c r="V18" i="6"/>
  <c r="G17" i="7"/>
  <c r="T18" i="9"/>
  <c r="E17" i="10"/>
  <c r="T13" i="12"/>
  <c r="T10" i="12"/>
  <c r="T8" i="13"/>
  <c r="V36" i="11"/>
  <c r="U36" i="11"/>
  <c r="O29" i="10"/>
  <c r="S29" i="10"/>
  <c r="Q29" i="10"/>
  <c r="L32" i="11"/>
  <c r="T32" i="11"/>
  <c r="S36" i="11"/>
  <c r="O36" i="11"/>
  <c r="Q36" i="11"/>
  <c r="U29" i="10"/>
  <c r="V29" i="10"/>
  <c r="T31" i="10"/>
  <c r="L31" i="10"/>
  <c r="T30" i="10"/>
  <c r="L30" i="10"/>
  <c r="V22" i="9"/>
  <c r="U22" i="9"/>
  <c r="T27" i="10"/>
  <c r="L27" i="10"/>
  <c r="Q22" i="9"/>
  <c r="O22" i="9"/>
  <c r="S22" i="9"/>
  <c r="S33" i="12"/>
  <c r="Q33" i="12"/>
  <c r="O33" i="12"/>
  <c r="U33" i="12"/>
  <c r="V33" i="12"/>
  <c r="E20" i="9"/>
  <c r="E33" i="13"/>
  <c r="K33" i="13" s="1"/>
  <c r="E12" i="13"/>
  <c r="K12" i="13" s="1"/>
  <c r="E14" i="13"/>
  <c r="K14" i="13" s="1"/>
  <c r="E11" i="12"/>
  <c r="K11" i="12" s="1"/>
  <c r="E37" i="10"/>
  <c r="K37" i="10" s="1"/>
  <c r="E35" i="10"/>
  <c r="K35" i="10" s="1"/>
  <c r="E28" i="10"/>
  <c r="K28" i="10" s="1"/>
  <c r="E34" i="11"/>
  <c r="K34" i="11" s="1"/>
  <c r="E24" i="10"/>
  <c r="K24" i="10" s="1"/>
  <c r="E26" i="11"/>
  <c r="K26" i="11" s="1"/>
  <c r="E23" i="10"/>
  <c r="K23" i="10" s="1"/>
  <c r="E25" i="10"/>
  <c r="K25" i="10" s="1"/>
  <c r="E9" i="10"/>
  <c r="K9" i="10" s="1"/>
  <c r="AA8" i="31" l="1"/>
  <c r="AA20" i="31" s="1"/>
  <c r="AA20" i="30"/>
  <c r="U20" i="7"/>
  <c r="V38" i="7"/>
  <c r="M17" i="7"/>
  <c r="G18" i="7"/>
  <c r="K17" i="10"/>
  <c r="E18" i="10"/>
  <c r="K20" i="9"/>
  <c r="E38" i="9"/>
  <c r="E39" i="9" s="1"/>
  <c r="T14" i="13"/>
  <c r="T12" i="13"/>
  <c r="T9" i="10"/>
  <c r="K15" i="10"/>
  <c r="T11" i="12"/>
  <c r="L34" i="11"/>
  <c r="T34" i="11"/>
  <c r="V32" i="11"/>
  <c r="U32" i="11"/>
  <c r="T24" i="10"/>
  <c r="L24" i="10"/>
  <c r="S27" i="10"/>
  <c r="Q27" i="10"/>
  <c r="O27" i="10"/>
  <c r="T33" i="13"/>
  <c r="L33" i="13"/>
  <c r="V30" i="10"/>
  <c r="U30" i="10"/>
  <c r="Q32" i="11"/>
  <c r="S32" i="11"/>
  <c r="O32" i="11"/>
  <c r="T28" i="10"/>
  <c r="L28" i="10"/>
  <c r="U27" i="10"/>
  <c r="V27" i="10"/>
  <c r="T35" i="10"/>
  <c r="L35" i="10"/>
  <c r="T37" i="10"/>
  <c r="L37" i="10"/>
  <c r="S31" i="10"/>
  <c r="O31" i="10"/>
  <c r="Q31" i="10"/>
  <c r="S30" i="10"/>
  <c r="Q30" i="10"/>
  <c r="O30" i="10"/>
  <c r="T25" i="10"/>
  <c r="L25" i="10"/>
  <c r="T20" i="9"/>
  <c r="K38" i="9"/>
  <c r="K39" i="9" s="1"/>
  <c r="T23" i="10"/>
  <c r="L23" i="10"/>
  <c r="T26" i="11"/>
  <c r="L26" i="11"/>
  <c r="U31" i="10"/>
  <c r="V31" i="10"/>
  <c r="E13" i="13"/>
  <c r="K13" i="13" s="1"/>
  <c r="E10" i="13"/>
  <c r="K10" i="13" s="1"/>
  <c r="E8" i="14"/>
  <c r="K8" i="14" s="1"/>
  <c r="E29" i="11"/>
  <c r="K29" i="11" s="1"/>
  <c r="E21" i="12"/>
  <c r="K21" i="12" s="1"/>
  <c r="E22" i="10"/>
  <c r="K22" i="10" s="1"/>
  <c r="E15" i="10"/>
  <c r="E36" i="12"/>
  <c r="K36" i="12" s="1"/>
  <c r="M18" i="7" l="1"/>
  <c r="L17" i="7"/>
  <c r="T17" i="10"/>
  <c r="K18" i="10"/>
  <c r="T15" i="10"/>
  <c r="T10" i="13"/>
  <c r="T13" i="13"/>
  <c r="T8" i="14"/>
  <c r="U35" i="10"/>
  <c r="V35" i="10"/>
  <c r="U24" i="10"/>
  <c r="V24" i="10"/>
  <c r="Q23" i="10"/>
  <c r="O23" i="10"/>
  <c r="S23" i="10"/>
  <c r="T21" i="12"/>
  <c r="U23" i="10"/>
  <c r="V23" i="10"/>
  <c r="T29" i="11"/>
  <c r="L29" i="11"/>
  <c r="V25" i="10"/>
  <c r="U25" i="10"/>
  <c r="S37" i="10"/>
  <c r="Q37" i="10"/>
  <c r="O37" i="10"/>
  <c r="S28" i="10"/>
  <c r="Q28" i="10"/>
  <c r="O28" i="10"/>
  <c r="T22" i="10"/>
  <c r="L22" i="10"/>
  <c r="T36" i="12"/>
  <c r="U36" i="12" s="1"/>
  <c r="L36" i="12"/>
  <c r="Q26" i="11"/>
  <c r="S26" i="11"/>
  <c r="O26" i="11"/>
  <c r="T38" i="9"/>
  <c r="T39" i="9" s="1"/>
  <c r="U37" i="10"/>
  <c r="V37" i="10"/>
  <c r="U28" i="10"/>
  <c r="V28" i="10"/>
  <c r="S33" i="13"/>
  <c r="Q33" i="13"/>
  <c r="O33" i="13"/>
  <c r="V34" i="11"/>
  <c r="U34" i="11"/>
  <c r="U26" i="11"/>
  <c r="V26" i="11"/>
  <c r="S25" i="10"/>
  <c r="Q25" i="10"/>
  <c r="O25" i="10"/>
  <c r="S35" i="10"/>
  <c r="Q35" i="10"/>
  <c r="O35" i="10"/>
  <c r="U33" i="13"/>
  <c r="V33" i="13"/>
  <c r="S24" i="10"/>
  <c r="O24" i="10"/>
  <c r="Q24" i="10"/>
  <c r="Q34" i="11"/>
  <c r="O34" i="11"/>
  <c r="S34" i="11"/>
  <c r="E33" i="14"/>
  <c r="K33" i="14" s="1"/>
  <c r="E12" i="14"/>
  <c r="K12" i="14" s="1"/>
  <c r="E11" i="13"/>
  <c r="K11" i="13" s="1"/>
  <c r="E14" i="14"/>
  <c r="K14" i="14" s="1"/>
  <c r="E27" i="11"/>
  <c r="K27" i="11" s="1"/>
  <c r="E30" i="11"/>
  <c r="K30" i="11" s="1"/>
  <c r="E32" i="12"/>
  <c r="K32" i="12" s="1"/>
  <c r="E31" i="11"/>
  <c r="K31" i="11" s="1"/>
  <c r="V17" i="7" l="1"/>
  <c r="Q17" i="7"/>
  <c r="Q18" i="7" s="1"/>
  <c r="S17" i="7"/>
  <c r="S18" i="7" s="1"/>
  <c r="O17" i="7"/>
  <c r="O18" i="7" s="1"/>
  <c r="T18" i="10"/>
  <c r="E17" i="11"/>
  <c r="T11" i="13"/>
  <c r="T14" i="14"/>
  <c r="T12" i="14"/>
  <c r="L31" i="11"/>
  <c r="T31" i="11"/>
  <c r="S22" i="10"/>
  <c r="O22" i="10"/>
  <c r="Q22" i="10"/>
  <c r="T32" i="12"/>
  <c r="L32" i="12"/>
  <c r="U22" i="10"/>
  <c r="V22" i="10"/>
  <c r="Q29" i="11"/>
  <c r="S29" i="11"/>
  <c r="O29" i="11"/>
  <c r="T27" i="11"/>
  <c r="L27" i="11"/>
  <c r="V29" i="11"/>
  <c r="U29" i="11"/>
  <c r="T33" i="14"/>
  <c r="L33" i="14"/>
  <c r="T30" i="11"/>
  <c r="L30" i="11"/>
  <c r="V36" i="12"/>
  <c r="S36" i="12"/>
  <c r="Q36" i="12"/>
  <c r="O36" i="12"/>
  <c r="E20" i="10"/>
  <c r="E13" i="14"/>
  <c r="K13" i="14" s="1"/>
  <c r="E10" i="14"/>
  <c r="K10" i="14" s="1"/>
  <c r="E8" i="15"/>
  <c r="K8" i="15" s="1"/>
  <c r="E37" i="11"/>
  <c r="K37" i="11" s="1"/>
  <c r="E28" i="11"/>
  <c r="K28" i="11" s="1"/>
  <c r="E35" i="11"/>
  <c r="K35" i="11" s="1"/>
  <c r="E34" i="12"/>
  <c r="K34" i="12" s="1"/>
  <c r="E25" i="11"/>
  <c r="K25" i="11" s="1"/>
  <c r="E26" i="12"/>
  <c r="K26" i="12" s="1"/>
  <c r="E23" i="11"/>
  <c r="K23" i="11" s="1"/>
  <c r="E24" i="11"/>
  <c r="K24" i="11" s="1"/>
  <c r="E9" i="11"/>
  <c r="K9" i="11" s="1"/>
  <c r="U17" i="7" l="1"/>
  <c r="F17" i="8" s="1"/>
  <c r="V18" i="7"/>
  <c r="G17" i="8"/>
  <c r="K17" i="11"/>
  <c r="E18" i="11"/>
  <c r="K20" i="10"/>
  <c r="T20" i="10" s="1"/>
  <c r="E38" i="10"/>
  <c r="T13" i="14"/>
  <c r="T9" i="11"/>
  <c r="K15" i="11"/>
  <c r="T8" i="15"/>
  <c r="T10" i="14"/>
  <c r="V32" i="12"/>
  <c r="U32" i="12"/>
  <c r="L28" i="11"/>
  <c r="T28" i="11"/>
  <c r="L37" i="11"/>
  <c r="T37" i="11"/>
  <c r="U30" i="11"/>
  <c r="V30" i="11"/>
  <c r="V31" i="11"/>
  <c r="U31" i="11"/>
  <c r="S30" i="11"/>
  <c r="Q30" i="11"/>
  <c r="O30" i="11"/>
  <c r="T26" i="12"/>
  <c r="L26" i="12"/>
  <c r="S33" i="14"/>
  <c r="O33" i="14"/>
  <c r="Q33" i="14"/>
  <c r="S27" i="11"/>
  <c r="Q27" i="11"/>
  <c r="O27" i="11"/>
  <c r="S31" i="11"/>
  <c r="O31" i="11"/>
  <c r="Q31" i="11"/>
  <c r="T23" i="11"/>
  <c r="L23" i="11"/>
  <c r="L25" i="11"/>
  <c r="T25" i="11"/>
  <c r="V33" i="14"/>
  <c r="U33" i="14"/>
  <c r="U27" i="11"/>
  <c r="V27" i="11"/>
  <c r="L35" i="11"/>
  <c r="T35" i="11"/>
  <c r="Q32" i="12"/>
  <c r="O32" i="12"/>
  <c r="S32" i="12"/>
  <c r="T24" i="11"/>
  <c r="L24" i="11"/>
  <c r="L34" i="12"/>
  <c r="T34" i="12"/>
  <c r="E14" i="15"/>
  <c r="K14" i="15" s="1"/>
  <c r="E11" i="14"/>
  <c r="K11" i="14" s="1"/>
  <c r="E39" i="10"/>
  <c r="E33" i="15"/>
  <c r="K33" i="15" s="1"/>
  <c r="E12" i="15"/>
  <c r="K12" i="15" s="1"/>
  <c r="E29" i="12"/>
  <c r="K29" i="12" s="1"/>
  <c r="E21" i="13"/>
  <c r="K21" i="13" s="1"/>
  <c r="E22" i="11"/>
  <c r="K22" i="11" s="1"/>
  <c r="E15" i="11"/>
  <c r="E36" i="13"/>
  <c r="K36" i="13" s="1"/>
  <c r="M17" i="8" l="1"/>
  <c r="G18" i="8"/>
  <c r="T17" i="11"/>
  <c r="K18" i="11"/>
  <c r="K38" i="10"/>
  <c r="K39" i="10" s="1"/>
  <c r="T15" i="11"/>
  <c r="T12" i="15"/>
  <c r="T11" i="14"/>
  <c r="T14" i="15"/>
  <c r="T36" i="13"/>
  <c r="L36" i="13"/>
  <c r="V25" i="11"/>
  <c r="U25" i="11"/>
  <c r="S24" i="11"/>
  <c r="O24" i="11"/>
  <c r="Q24" i="11"/>
  <c r="Q35" i="11"/>
  <c r="S35" i="11"/>
  <c r="O35" i="11"/>
  <c r="Q25" i="11"/>
  <c r="O25" i="11"/>
  <c r="S25" i="11"/>
  <c r="V37" i="11"/>
  <c r="U37" i="11"/>
  <c r="V24" i="11"/>
  <c r="U24" i="11"/>
  <c r="Q23" i="11"/>
  <c r="O23" i="11"/>
  <c r="S23" i="11"/>
  <c r="Q26" i="12"/>
  <c r="S26" i="12"/>
  <c r="O26" i="12"/>
  <c r="Q37" i="11"/>
  <c r="O37" i="11"/>
  <c r="S37" i="11"/>
  <c r="Q34" i="12"/>
  <c r="O34" i="12"/>
  <c r="S34" i="12"/>
  <c r="U26" i="12"/>
  <c r="V26" i="12"/>
  <c r="V28" i="11"/>
  <c r="U28" i="11"/>
  <c r="L22" i="11"/>
  <c r="T22" i="11"/>
  <c r="U23" i="11"/>
  <c r="V23" i="11"/>
  <c r="Q28" i="11"/>
  <c r="O28" i="11"/>
  <c r="S28" i="11"/>
  <c r="V35" i="11"/>
  <c r="U35" i="11"/>
  <c r="T21" i="13"/>
  <c r="T29" i="12"/>
  <c r="L29" i="12"/>
  <c r="V34" i="12"/>
  <c r="U34" i="12"/>
  <c r="T33" i="15"/>
  <c r="L33" i="15"/>
  <c r="T38" i="10"/>
  <c r="T39" i="10" s="1"/>
  <c r="E10" i="15"/>
  <c r="K10" i="15" s="1"/>
  <c r="E13" i="15"/>
  <c r="K13" i="15" s="1"/>
  <c r="E8" i="16"/>
  <c r="K8" i="16" s="1"/>
  <c r="E30" i="12"/>
  <c r="K30" i="12" s="1"/>
  <c r="E32" i="13"/>
  <c r="K32" i="13" s="1"/>
  <c r="E31" i="12"/>
  <c r="K31" i="12" s="1"/>
  <c r="E27" i="12"/>
  <c r="K27" i="12" s="1"/>
  <c r="M18" i="8" l="1"/>
  <c r="L17" i="8"/>
  <c r="T18" i="11"/>
  <c r="E17" i="12"/>
  <c r="T10" i="15"/>
  <c r="T13" i="15"/>
  <c r="T8" i="16"/>
  <c r="V29" i="12"/>
  <c r="U29" i="12"/>
  <c r="T30" i="12"/>
  <c r="L30" i="12"/>
  <c r="V22" i="11"/>
  <c r="U22" i="11"/>
  <c r="Q22" i="11"/>
  <c r="O22" i="11"/>
  <c r="S22" i="11"/>
  <c r="T27" i="12"/>
  <c r="L27" i="12"/>
  <c r="L31" i="12"/>
  <c r="T31" i="12"/>
  <c r="S33" i="15"/>
  <c r="Q33" i="15"/>
  <c r="O33" i="15"/>
  <c r="S36" i="13"/>
  <c r="Q36" i="13"/>
  <c r="O36" i="13"/>
  <c r="L32" i="13"/>
  <c r="T32" i="13"/>
  <c r="V33" i="15"/>
  <c r="U33" i="15"/>
  <c r="Q29" i="12"/>
  <c r="O29" i="12"/>
  <c r="S29" i="12"/>
  <c r="U36" i="13"/>
  <c r="V36" i="13"/>
  <c r="E14" i="16"/>
  <c r="K14" i="16" s="1"/>
  <c r="E33" i="16"/>
  <c r="K33" i="16" s="1"/>
  <c r="E12" i="16"/>
  <c r="K12" i="16" s="1"/>
  <c r="E20" i="11"/>
  <c r="E11" i="15"/>
  <c r="K11" i="15" s="1"/>
  <c r="E37" i="12"/>
  <c r="K37" i="12" s="1"/>
  <c r="E35" i="12"/>
  <c r="K35" i="12" s="1"/>
  <c r="E28" i="12"/>
  <c r="K28" i="12" s="1"/>
  <c r="E34" i="13"/>
  <c r="K34" i="13" s="1"/>
  <c r="E24" i="12"/>
  <c r="K24" i="12" s="1"/>
  <c r="E25" i="12"/>
  <c r="K25" i="12" s="1"/>
  <c r="E23" i="12"/>
  <c r="K23" i="12" s="1"/>
  <c r="E26" i="13"/>
  <c r="K26" i="13" s="1"/>
  <c r="E9" i="12"/>
  <c r="K9" i="12" s="1"/>
  <c r="V17" i="8" l="1"/>
  <c r="O17" i="8"/>
  <c r="O18" i="8" s="1"/>
  <c r="Q17" i="8"/>
  <c r="Q18" i="8" s="1"/>
  <c r="S17" i="8"/>
  <c r="S18" i="8" s="1"/>
  <c r="K17" i="12"/>
  <c r="E18" i="12"/>
  <c r="K20" i="11"/>
  <c r="E38" i="11"/>
  <c r="E39" i="11" s="1"/>
  <c r="T11" i="15"/>
  <c r="T12" i="16"/>
  <c r="K15" i="12"/>
  <c r="T9" i="12"/>
  <c r="T14" i="16"/>
  <c r="V32" i="13"/>
  <c r="U32" i="13"/>
  <c r="V31" i="12"/>
  <c r="U31" i="12"/>
  <c r="S31" i="12"/>
  <c r="Q31" i="12"/>
  <c r="O31" i="12"/>
  <c r="T33" i="16"/>
  <c r="L33" i="16"/>
  <c r="O27" i="12"/>
  <c r="S27" i="12"/>
  <c r="Q27" i="12"/>
  <c r="S30" i="12"/>
  <c r="Q30" i="12"/>
  <c r="O30" i="12"/>
  <c r="L25" i="12"/>
  <c r="T25" i="12"/>
  <c r="T20" i="11"/>
  <c r="K38" i="11"/>
  <c r="K39" i="11" s="1"/>
  <c r="O32" i="13"/>
  <c r="Q32" i="13"/>
  <c r="S32" i="13"/>
  <c r="T35" i="12"/>
  <c r="L35" i="12"/>
  <c r="U27" i="12"/>
  <c r="V27" i="12"/>
  <c r="U30" i="12"/>
  <c r="V30" i="12"/>
  <c r="T24" i="12"/>
  <c r="L24" i="12"/>
  <c r="T34" i="13"/>
  <c r="L34" i="13"/>
  <c r="L28" i="12"/>
  <c r="T28" i="12"/>
  <c r="L26" i="13"/>
  <c r="T26" i="13"/>
  <c r="T23" i="12"/>
  <c r="L23" i="12"/>
  <c r="L37" i="12"/>
  <c r="T37" i="12"/>
  <c r="E13" i="16"/>
  <c r="K13" i="16" s="1"/>
  <c r="E10" i="16"/>
  <c r="K10" i="16" s="1"/>
  <c r="E8" i="17"/>
  <c r="K8" i="17" s="1"/>
  <c r="E29" i="13"/>
  <c r="K29" i="13" s="1"/>
  <c r="E36" i="14"/>
  <c r="K36" i="14" s="1"/>
  <c r="E22" i="12"/>
  <c r="K22" i="12" s="1"/>
  <c r="E21" i="14"/>
  <c r="K21" i="14" s="1"/>
  <c r="E15" i="12"/>
  <c r="U17" i="8" l="1"/>
  <c r="F17" i="9" s="1"/>
  <c r="V18" i="8"/>
  <c r="G17" i="9"/>
  <c r="T17" i="12"/>
  <c r="K18" i="12"/>
  <c r="T13" i="16"/>
  <c r="T10" i="16"/>
  <c r="T8" i="17"/>
  <c r="T15" i="12"/>
  <c r="U24" i="12"/>
  <c r="V24" i="12"/>
  <c r="V33" i="16"/>
  <c r="U33" i="16"/>
  <c r="L29" i="13"/>
  <c r="T29" i="13"/>
  <c r="V37" i="12"/>
  <c r="U37" i="12"/>
  <c r="V28" i="12"/>
  <c r="U28" i="12"/>
  <c r="V35" i="12"/>
  <c r="U35" i="12"/>
  <c r="T38" i="11"/>
  <c r="T39" i="11" s="1"/>
  <c r="V26" i="13"/>
  <c r="U26" i="13"/>
  <c r="Q35" i="12"/>
  <c r="S35" i="12"/>
  <c r="O35" i="12"/>
  <c r="Q37" i="12"/>
  <c r="S37" i="12"/>
  <c r="O37" i="12"/>
  <c r="Q28" i="12"/>
  <c r="S28" i="12"/>
  <c r="O28" i="12"/>
  <c r="V25" i="12"/>
  <c r="U25" i="12"/>
  <c r="L22" i="12"/>
  <c r="T22" i="12"/>
  <c r="S24" i="12"/>
  <c r="Q24" i="12"/>
  <c r="O24" i="12"/>
  <c r="T36" i="14"/>
  <c r="L36" i="14"/>
  <c r="O26" i="13"/>
  <c r="S26" i="13"/>
  <c r="Q26" i="13"/>
  <c r="Q23" i="12"/>
  <c r="S23" i="12"/>
  <c r="O23" i="12"/>
  <c r="S34" i="13"/>
  <c r="O34" i="13"/>
  <c r="Q34" i="13"/>
  <c r="S25" i="12"/>
  <c r="Q25" i="12"/>
  <c r="O25" i="12"/>
  <c r="Q33" i="16"/>
  <c r="O33" i="16"/>
  <c r="S33" i="16"/>
  <c r="T21" i="14"/>
  <c r="V23" i="12"/>
  <c r="U23" i="12"/>
  <c r="V34" i="13"/>
  <c r="U34" i="13"/>
  <c r="E33" i="17"/>
  <c r="K33" i="17" s="1"/>
  <c r="E14" i="17"/>
  <c r="K14" i="17" s="1"/>
  <c r="E11" i="16"/>
  <c r="K11" i="16" s="1"/>
  <c r="E12" i="17"/>
  <c r="K12" i="17" s="1"/>
  <c r="E27" i="13"/>
  <c r="K27" i="13" s="1"/>
  <c r="E31" i="13"/>
  <c r="K31" i="13" s="1"/>
  <c r="E32" i="14"/>
  <c r="K32" i="14" s="1"/>
  <c r="E30" i="13"/>
  <c r="K30" i="13" s="1"/>
  <c r="M17" i="9" l="1"/>
  <c r="G18" i="9"/>
  <c r="T18" i="12"/>
  <c r="E17" i="13"/>
  <c r="T14" i="17"/>
  <c r="T11" i="16"/>
  <c r="T12" i="17"/>
  <c r="V29" i="13"/>
  <c r="U29" i="13"/>
  <c r="T32" i="14"/>
  <c r="L32" i="14"/>
  <c r="Q29" i="13"/>
  <c r="O29" i="13"/>
  <c r="S29" i="13"/>
  <c r="T30" i="13"/>
  <c r="L30" i="13"/>
  <c r="V22" i="12"/>
  <c r="U22" i="12"/>
  <c r="T31" i="13"/>
  <c r="L31" i="13"/>
  <c r="T27" i="13"/>
  <c r="L27" i="13"/>
  <c r="T33" i="17"/>
  <c r="L33" i="17"/>
  <c r="S36" i="14"/>
  <c r="Q36" i="14"/>
  <c r="O36" i="14"/>
  <c r="Q22" i="12"/>
  <c r="O22" i="12"/>
  <c r="S22" i="12"/>
  <c r="U36" i="14"/>
  <c r="V36" i="14"/>
  <c r="E20" i="12"/>
  <c r="E13" i="17"/>
  <c r="K13" i="17" s="1"/>
  <c r="E10" i="17"/>
  <c r="K10" i="17" s="1"/>
  <c r="E8" i="18"/>
  <c r="K8" i="18" s="1"/>
  <c r="E37" i="13"/>
  <c r="K37" i="13" s="1"/>
  <c r="E28" i="13"/>
  <c r="K28" i="13" s="1"/>
  <c r="E35" i="13"/>
  <c r="K35" i="13" s="1"/>
  <c r="E34" i="14"/>
  <c r="K34" i="14" s="1"/>
  <c r="E25" i="13"/>
  <c r="K25" i="13" s="1"/>
  <c r="E23" i="13"/>
  <c r="K23" i="13" s="1"/>
  <c r="E26" i="14"/>
  <c r="K26" i="14" s="1"/>
  <c r="E24" i="13"/>
  <c r="K24" i="13" s="1"/>
  <c r="E9" i="13"/>
  <c r="K9" i="13" s="1"/>
  <c r="M18" i="9" l="1"/>
  <c r="L17" i="9"/>
  <c r="K17" i="13"/>
  <c r="E18" i="13"/>
  <c r="K20" i="12"/>
  <c r="K38" i="12" s="1"/>
  <c r="K39" i="12" s="1"/>
  <c r="E38" i="12"/>
  <c r="E39" i="12" s="1"/>
  <c r="T13" i="17"/>
  <c r="T8" i="18"/>
  <c r="T10" i="17"/>
  <c r="T9" i="13"/>
  <c r="K15" i="13"/>
  <c r="T26" i="14"/>
  <c r="L26" i="14"/>
  <c r="S27" i="13"/>
  <c r="Q27" i="13"/>
  <c r="O27" i="13"/>
  <c r="V32" i="14"/>
  <c r="U32" i="14"/>
  <c r="U27" i="13"/>
  <c r="V27" i="13"/>
  <c r="S33" i="17"/>
  <c r="O33" i="17"/>
  <c r="Q33" i="17"/>
  <c r="S31" i="13"/>
  <c r="O31" i="13"/>
  <c r="Q31" i="13"/>
  <c r="L34" i="14"/>
  <c r="T34" i="14"/>
  <c r="V31" i="13"/>
  <c r="U31" i="13"/>
  <c r="S30" i="13"/>
  <c r="O30" i="13"/>
  <c r="Q30" i="13"/>
  <c r="T37" i="13"/>
  <c r="L37" i="13"/>
  <c r="T25" i="13"/>
  <c r="L25" i="13"/>
  <c r="L35" i="13"/>
  <c r="T35" i="13"/>
  <c r="V30" i="13"/>
  <c r="U30" i="13"/>
  <c r="L23" i="13"/>
  <c r="T23" i="13"/>
  <c r="V33" i="17"/>
  <c r="U33" i="17"/>
  <c r="T24" i="13"/>
  <c r="L24" i="13"/>
  <c r="T28" i="13"/>
  <c r="L28" i="13"/>
  <c r="Q32" i="14"/>
  <c r="O32" i="14"/>
  <c r="S32" i="14"/>
  <c r="E14" i="18"/>
  <c r="K14" i="18" s="1"/>
  <c r="E33" i="18"/>
  <c r="K33" i="18" s="1"/>
  <c r="E12" i="18"/>
  <c r="K12" i="18" s="1"/>
  <c r="E11" i="17"/>
  <c r="K11" i="17" s="1"/>
  <c r="E36" i="15"/>
  <c r="K36" i="15" s="1"/>
  <c r="E29" i="14"/>
  <c r="K29" i="14" s="1"/>
  <c r="E21" i="15"/>
  <c r="K21" i="15" s="1"/>
  <c r="E22" i="13"/>
  <c r="K22" i="13" s="1"/>
  <c r="E15" i="13"/>
  <c r="V17" i="9" l="1"/>
  <c r="O17" i="9"/>
  <c r="O18" i="9" s="1"/>
  <c r="Q17" i="9"/>
  <c r="Q18" i="9" s="1"/>
  <c r="S17" i="9"/>
  <c r="S18" i="9" s="1"/>
  <c r="T17" i="13"/>
  <c r="K18" i="13"/>
  <c r="T20" i="12"/>
  <c r="T14" i="18"/>
  <c r="T11" i="17"/>
  <c r="T12" i="18"/>
  <c r="T15" i="13"/>
  <c r="T36" i="15"/>
  <c r="L36" i="15"/>
  <c r="V23" i="13"/>
  <c r="U23" i="13"/>
  <c r="S25" i="13"/>
  <c r="O25" i="13"/>
  <c r="Q25" i="13"/>
  <c r="U24" i="13"/>
  <c r="V24" i="13"/>
  <c r="Q23" i="13"/>
  <c r="O23" i="13"/>
  <c r="S23" i="13"/>
  <c r="U25" i="13"/>
  <c r="V25" i="13"/>
  <c r="T21" i="15"/>
  <c r="V28" i="13"/>
  <c r="U28" i="13"/>
  <c r="V37" i="13"/>
  <c r="U37" i="13"/>
  <c r="T22" i="13"/>
  <c r="L22" i="13"/>
  <c r="S28" i="13"/>
  <c r="O28" i="13"/>
  <c r="Q28" i="13"/>
  <c r="S37" i="13"/>
  <c r="O37" i="13"/>
  <c r="Q37" i="13"/>
  <c r="T33" i="18"/>
  <c r="L33" i="18"/>
  <c r="T29" i="14"/>
  <c r="L29" i="14"/>
  <c r="S24" i="13"/>
  <c r="Q24" i="13"/>
  <c r="O24" i="13"/>
  <c r="V35" i="13"/>
  <c r="U35" i="13"/>
  <c r="V34" i="14"/>
  <c r="U34" i="14"/>
  <c r="Q26" i="14"/>
  <c r="O26" i="14"/>
  <c r="S26" i="14"/>
  <c r="O35" i="13"/>
  <c r="Q35" i="13"/>
  <c r="S35" i="13"/>
  <c r="S34" i="14"/>
  <c r="O34" i="14"/>
  <c r="Q34" i="14"/>
  <c r="V26" i="14"/>
  <c r="U26" i="14"/>
  <c r="E13" i="18"/>
  <c r="K13" i="18" s="1"/>
  <c r="E10" i="18"/>
  <c r="K10" i="18" s="1"/>
  <c r="E8" i="19"/>
  <c r="K8" i="19" s="1"/>
  <c r="E30" i="14"/>
  <c r="K30" i="14" s="1"/>
  <c r="E27" i="14"/>
  <c r="K27" i="14" s="1"/>
  <c r="E32" i="15"/>
  <c r="K32" i="15" s="1"/>
  <c r="E31" i="14"/>
  <c r="K31" i="14" s="1"/>
  <c r="U17" i="9" l="1"/>
  <c r="F17" i="10" s="1"/>
  <c r="V18" i="9"/>
  <c r="G17" i="10"/>
  <c r="T38" i="12"/>
  <c r="T39" i="12" s="1"/>
  <c r="T18" i="13"/>
  <c r="E17" i="14"/>
  <c r="T10" i="18"/>
  <c r="T8" i="19"/>
  <c r="T13" i="18"/>
  <c r="Q33" i="18"/>
  <c r="O33" i="18"/>
  <c r="S33" i="18"/>
  <c r="V22" i="13"/>
  <c r="U22" i="13"/>
  <c r="U33" i="18"/>
  <c r="V33" i="18"/>
  <c r="Q29" i="14"/>
  <c r="O29" i="14"/>
  <c r="S29" i="14"/>
  <c r="U29" i="14"/>
  <c r="V29" i="14"/>
  <c r="L31" i="14"/>
  <c r="T31" i="14"/>
  <c r="T32" i="15"/>
  <c r="L32" i="15"/>
  <c r="S36" i="15"/>
  <c r="O36" i="15"/>
  <c r="Q36" i="15"/>
  <c r="T30" i="14"/>
  <c r="L30" i="14"/>
  <c r="T27" i="14"/>
  <c r="L27" i="14"/>
  <c r="S22" i="13"/>
  <c r="O22" i="13"/>
  <c r="Q22" i="13"/>
  <c r="V36" i="15"/>
  <c r="U36" i="15"/>
  <c r="E20" i="13"/>
  <c r="E12" i="19"/>
  <c r="K12" i="19" s="1"/>
  <c r="E11" i="18"/>
  <c r="K11" i="18" s="1"/>
  <c r="E33" i="19"/>
  <c r="K33" i="19" s="1"/>
  <c r="E14" i="19"/>
  <c r="K14" i="19" s="1"/>
  <c r="E37" i="14"/>
  <c r="K37" i="14" s="1"/>
  <c r="E34" i="15"/>
  <c r="K34" i="15" s="1"/>
  <c r="E28" i="14"/>
  <c r="K28" i="14" s="1"/>
  <c r="E35" i="14"/>
  <c r="K35" i="14" s="1"/>
  <c r="E26" i="15"/>
  <c r="K26" i="15" s="1"/>
  <c r="E24" i="14"/>
  <c r="K24" i="14" s="1"/>
  <c r="E25" i="14"/>
  <c r="K25" i="14" s="1"/>
  <c r="E23" i="14"/>
  <c r="K23" i="14" s="1"/>
  <c r="E9" i="14"/>
  <c r="K9" i="14" s="1"/>
  <c r="M17" i="10" l="1"/>
  <c r="G18" i="10"/>
  <c r="K17" i="14"/>
  <c r="E18" i="14"/>
  <c r="K20" i="13"/>
  <c r="E38" i="13"/>
  <c r="T14" i="19"/>
  <c r="T11" i="18"/>
  <c r="T9" i="14"/>
  <c r="K15" i="14"/>
  <c r="T12" i="19"/>
  <c r="T24" i="14"/>
  <c r="L24" i="14"/>
  <c r="S27" i="14"/>
  <c r="Q27" i="14"/>
  <c r="O27" i="14"/>
  <c r="U30" i="14"/>
  <c r="V30" i="14"/>
  <c r="V31" i="14"/>
  <c r="U31" i="14"/>
  <c r="L26" i="15"/>
  <c r="T26" i="15"/>
  <c r="U27" i="14"/>
  <c r="V27" i="14"/>
  <c r="Q31" i="14"/>
  <c r="S31" i="14"/>
  <c r="O31" i="14"/>
  <c r="L37" i="14"/>
  <c r="T37" i="14"/>
  <c r="S30" i="14"/>
  <c r="Q30" i="14"/>
  <c r="O30" i="14"/>
  <c r="T33" i="19"/>
  <c r="L33" i="19"/>
  <c r="T35" i="14"/>
  <c r="L35" i="14"/>
  <c r="L28" i="14"/>
  <c r="T28" i="14"/>
  <c r="L25" i="14"/>
  <c r="T25" i="14"/>
  <c r="V32" i="15"/>
  <c r="U32" i="15"/>
  <c r="T23" i="14"/>
  <c r="L23" i="14"/>
  <c r="T34" i="15"/>
  <c r="L34" i="15"/>
  <c r="K38" i="13"/>
  <c r="K39" i="13" s="1"/>
  <c r="T20" i="13"/>
  <c r="Q32" i="15"/>
  <c r="O32" i="15"/>
  <c r="S32" i="15"/>
  <c r="E13" i="19"/>
  <c r="K13" i="19" s="1"/>
  <c r="E10" i="19"/>
  <c r="K10" i="19" s="1"/>
  <c r="E39" i="13"/>
  <c r="E8" i="20"/>
  <c r="K8" i="20" s="1"/>
  <c r="E29" i="15"/>
  <c r="K29" i="15" s="1"/>
  <c r="E36" i="16"/>
  <c r="K36" i="16" s="1"/>
  <c r="E21" i="16"/>
  <c r="K21" i="16" s="1"/>
  <c r="E22" i="14"/>
  <c r="K22" i="14" s="1"/>
  <c r="E15" i="14"/>
  <c r="M18" i="10" l="1"/>
  <c r="L17" i="10"/>
  <c r="T17" i="14"/>
  <c r="K18" i="14"/>
  <c r="T15" i="14"/>
  <c r="T10" i="19"/>
  <c r="T13" i="19"/>
  <c r="T8" i="20"/>
  <c r="T21" i="16"/>
  <c r="Q26" i="15"/>
  <c r="O26" i="15"/>
  <c r="S26" i="15"/>
  <c r="U28" i="14"/>
  <c r="V28" i="14"/>
  <c r="V26" i="15"/>
  <c r="U26" i="15"/>
  <c r="Q28" i="14"/>
  <c r="S28" i="14"/>
  <c r="O28" i="14"/>
  <c r="T29" i="15"/>
  <c r="L29" i="15"/>
  <c r="S34" i="15"/>
  <c r="Q34" i="15"/>
  <c r="O34" i="15"/>
  <c r="Q35" i="14"/>
  <c r="O35" i="14"/>
  <c r="S35" i="14"/>
  <c r="V34" i="15"/>
  <c r="U34" i="15"/>
  <c r="V25" i="14"/>
  <c r="U25" i="14"/>
  <c r="U35" i="14"/>
  <c r="V35" i="14"/>
  <c r="V37" i="14"/>
  <c r="U37" i="14"/>
  <c r="S24" i="14"/>
  <c r="O24" i="14"/>
  <c r="Q24" i="14"/>
  <c r="T36" i="16"/>
  <c r="L36" i="16"/>
  <c r="S23" i="14"/>
  <c r="Q23" i="14"/>
  <c r="O23" i="14"/>
  <c r="Q25" i="14"/>
  <c r="S25" i="14"/>
  <c r="O25" i="14"/>
  <c r="S33" i="19"/>
  <c r="Q33" i="19"/>
  <c r="O33" i="19"/>
  <c r="Q37" i="14"/>
  <c r="S37" i="14"/>
  <c r="O37" i="14"/>
  <c r="V24" i="14"/>
  <c r="U24" i="14"/>
  <c r="T38" i="13"/>
  <c r="T39" i="13" s="1"/>
  <c r="L22" i="14"/>
  <c r="T22" i="14"/>
  <c r="V23" i="14"/>
  <c r="U23" i="14"/>
  <c r="V33" i="19"/>
  <c r="U33" i="19"/>
  <c r="E33" i="20"/>
  <c r="K33" i="20" s="1"/>
  <c r="E12" i="20"/>
  <c r="K12" i="20" s="1"/>
  <c r="E14" i="20"/>
  <c r="K14" i="20" s="1"/>
  <c r="E11" i="19"/>
  <c r="K11" i="19" s="1"/>
  <c r="E30" i="15"/>
  <c r="K30" i="15" s="1"/>
  <c r="E27" i="15"/>
  <c r="K27" i="15" s="1"/>
  <c r="E32" i="16"/>
  <c r="K32" i="16" s="1"/>
  <c r="E31" i="15"/>
  <c r="K31" i="15" s="1"/>
  <c r="V17" i="10" l="1"/>
  <c r="S17" i="10"/>
  <c r="S18" i="10" s="1"/>
  <c r="O17" i="10"/>
  <c r="O18" i="10" s="1"/>
  <c r="Q17" i="10"/>
  <c r="Q18" i="10" s="1"/>
  <c r="T18" i="14"/>
  <c r="E17" i="15"/>
  <c r="T14" i="20"/>
  <c r="T12" i="20"/>
  <c r="T11" i="19"/>
  <c r="T27" i="15"/>
  <c r="L27" i="15"/>
  <c r="T30" i="15"/>
  <c r="L30" i="15"/>
  <c r="Q29" i="15"/>
  <c r="O29" i="15"/>
  <c r="S29" i="15"/>
  <c r="T33" i="20"/>
  <c r="L33" i="20"/>
  <c r="V22" i="14"/>
  <c r="U22" i="14"/>
  <c r="V29" i="15"/>
  <c r="U29" i="15"/>
  <c r="U36" i="16"/>
  <c r="V36" i="16"/>
  <c r="O22" i="14"/>
  <c r="Q22" i="14"/>
  <c r="S22" i="14"/>
  <c r="L32" i="16"/>
  <c r="T32" i="16"/>
  <c r="T31" i="15"/>
  <c r="L31" i="15"/>
  <c r="O36" i="16"/>
  <c r="S36" i="16"/>
  <c r="Q36" i="16"/>
  <c r="E10" i="20"/>
  <c r="K10" i="20" s="1"/>
  <c r="E20" i="14"/>
  <c r="E13" i="20"/>
  <c r="K13" i="20" s="1"/>
  <c r="E8" i="21"/>
  <c r="K8" i="21" s="1"/>
  <c r="E37" i="15"/>
  <c r="K37" i="15" s="1"/>
  <c r="E35" i="15"/>
  <c r="K35" i="15" s="1"/>
  <c r="E28" i="15"/>
  <c r="K28" i="15" s="1"/>
  <c r="E34" i="16"/>
  <c r="K34" i="16" s="1"/>
  <c r="E25" i="15"/>
  <c r="K25" i="15" s="1"/>
  <c r="E23" i="15"/>
  <c r="K23" i="15" s="1"/>
  <c r="E26" i="16"/>
  <c r="K26" i="16" s="1"/>
  <c r="E24" i="15"/>
  <c r="K24" i="15" s="1"/>
  <c r="E9" i="15"/>
  <c r="K9" i="15" s="1"/>
  <c r="U17" i="10" l="1"/>
  <c r="F17" i="11" s="1"/>
  <c r="V18" i="10"/>
  <c r="G17" i="11"/>
  <c r="E18" i="15"/>
  <c r="K17" i="15"/>
  <c r="K20" i="14"/>
  <c r="E38" i="14"/>
  <c r="T10" i="20"/>
  <c r="T8" i="21"/>
  <c r="T13" i="20"/>
  <c r="T9" i="15"/>
  <c r="K15" i="15"/>
  <c r="T35" i="15"/>
  <c r="L35" i="15"/>
  <c r="U31" i="15"/>
  <c r="V31" i="15"/>
  <c r="V27" i="15"/>
  <c r="U27" i="15"/>
  <c r="T25" i="15"/>
  <c r="L25" i="15"/>
  <c r="S33" i="20"/>
  <c r="O33" i="20"/>
  <c r="Q33" i="20"/>
  <c r="S30" i="15"/>
  <c r="Q30" i="15"/>
  <c r="O30" i="15"/>
  <c r="T24" i="15"/>
  <c r="L24" i="15"/>
  <c r="T37" i="15"/>
  <c r="L37" i="15"/>
  <c r="L34" i="16"/>
  <c r="T34" i="16"/>
  <c r="U33" i="20"/>
  <c r="V33" i="20"/>
  <c r="U30" i="15"/>
  <c r="V30" i="15"/>
  <c r="L26" i="16"/>
  <c r="T26" i="16"/>
  <c r="T23" i="15"/>
  <c r="U23" i="15" s="1"/>
  <c r="L23" i="15"/>
  <c r="U32" i="16"/>
  <c r="V32" i="16"/>
  <c r="T28" i="15"/>
  <c r="L28" i="15"/>
  <c r="S31" i="15"/>
  <c r="O31" i="15"/>
  <c r="Q31" i="15"/>
  <c r="Q32" i="16"/>
  <c r="O32" i="16"/>
  <c r="S32" i="16"/>
  <c r="S27" i="15"/>
  <c r="O27" i="15"/>
  <c r="Q27" i="15"/>
  <c r="E14" i="21"/>
  <c r="K14" i="21" s="1"/>
  <c r="E39" i="14"/>
  <c r="E12" i="21"/>
  <c r="K12" i="21" s="1"/>
  <c r="E11" i="20"/>
  <c r="K11" i="20" s="1"/>
  <c r="E36" i="17"/>
  <c r="K36" i="17" s="1"/>
  <c r="E33" i="21"/>
  <c r="K33" i="21" s="1"/>
  <c r="E29" i="16"/>
  <c r="K29" i="16" s="1"/>
  <c r="E21" i="17"/>
  <c r="K21" i="17" s="1"/>
  <c r="E22" i="15"/>
  <c r="K22" i="15" s="1"/>
  <c r="E15" i="15"/>
  <c r="M17" i="11" l="1"/>
  <c r="G18" i="11"/>
  <c r="T20" i="14"/>
  <c r="T17" i="15"/>
  <c r="K18" i="15"/>
  <c r="K38" i="14"/>
  <c r="K39" i="14" s="1"/>
  <c r="T12" i="21"/>
  <c r="T14" i="21"/>
  <c r="T15" i="15"/>
  <c r="T11" i="20"/>
  <c r="V37" i="15"/>
  <c r="U37" i="15"/>
  <c r="V26" i="16"/>
  <c r="U26" i="16"/>
  <c r="U34" i="16"/>
  <c r="V34" i="16"/>
  <c r="U24" i="15"/>
  <c r="V24" i="15"/>
  <c r="T22" i="15"/>
  <c r="L22" i="15"/>
  <c r="S28" i="15"/>
  <c r="Q28" i="15"/>
  <c r="O28" i="15"/>
  <c r="T38" i="14"/>
  <c r="T39" i="14" s="1"/>
  <c r="S26" i="16"/>
  <c r="Q26" i="16"/>
  <c r="O26" i="16"/>
  <c r="O34" i="16"/>
  <c r="S34" i="16"/>
  <c r="Q34" i="16"/>
  <c r="S25" i="15"/>
  <c r="Q25" i="15"/>
  <c r="O25" i="15"/>
  <c r="O35" i="15"/>
  <c r="Q35" i="15"/>
  <c r="S35" i="15"/>
  <c r="S24" i="15"/>
  <c r="O24" i="15"/>
  <c r="Q24" i="15"/>
  <c r="V28" i="15"/>
  <c r="U28" i="15"/>
  <c r="V25" i="15"/>
  <c r="U25" i="15"/>
  <c r="U35" i="15"/>
  <c r="V35" i="15"/>
  <c r="T36" i="17"/>
  <c r="L36" i="17"/>
  <c r="T21" i="17"/>
  <c r="L29" i="16"/>
  <c r="T29" i="16"/>
  <c r="T33" i="21"/>
  <c r="L33" i="21"/>
  <c r="V23" i="15"/>
  <c r="O23" i="15"/>
  <c r="S23" i="15"/>
  <c r="Q23" i="15"/>
  <c r="S37" i="15"/>
  <c r="O37" i="15"/>
  <c r="Q37" i="15"/>
  <c r="E13" i="21"/>
  <c r="K13" i="21" s="1"/>
  <c r="E10" i="21"/>
  <c r="K10" i="21" s="1"/>
  <c r="E8" i="22"/>
  <c r="K8" i="22" s="1"/>
  <c r="E32" i="17"/>
  <c r="K32" i="17" s="1"/>
  <c r="E30" i="16"/>
  <c r="K30" i="16" s="1"/>
  <c r="E27" i="16"/>
  <c r="K27" i="16" s="1"/>
  <c r="E31" i="16"/>
  <c r="K31" i="16" s="1"/>
  <c r="M18" i="11" l="1"/>
  <c r="L17" i="11"/>
  <c r="T18" i="15"/>
  <c r="E17" i="16"/>
  <c r="T10" i="21"/>
  <c r="T13" i="21"/>
  <c r="T8" i="22"/>
  <c r="T30" i="16"/>
  <c r="L30" i="16"/>
  <c r="S36" i="17"/>
  <c r="Q36" i="17"/>
  <c r="O36" i="17"/>
  <c r="U33" i="21"/>
  <c r="V33" i="21"/>
  <c r="S22" i="15"/>
  <c r="Q22" i="15"/>
  <c r="O22" i="15"/>
  <c r="V29" i="16"/>
  <c r="U29" i="16"/>
  <c r="S29" i="16"/>
  <c r="Q29" i="16"/>
  <c r="O29" i="16"/>
  <c r="V22" i="15"/>
  <c r="U22" i="15"/>
  <c r="T32" i="17"/>
  <c r="L32" i="17"/>
  <c r="U36" i="17"/>
  <c r="V36" i="17"/>
  <c r="L31" i="16"/>
  <c r="T31" i="16"/>
  <c r="S33" i="21"/>
  <c r="Q33" i="21"/>
  <c r="O33" i="21"/>
  <c r="T27" i="16"/>
  <c r="L27" i="16"/>
  <c r="E14" i="22"/>
  <c r="K14" i="22" s="1"/>
  <c r="E11" i="21"/>
  <c r="K11" i="21" s="1"/>
  <c r="E20" i="15"/>
  <c r="E12" i="22"/>
  <c r="K12" i="22" s="1"/>
  <c r="E37" i="16"/>
  <c r="K37" i="16" s="1"/>
  <c r="E35" i="16"/>
  <c r="K35" i="16" s="1"/>
  <c r="E34" i="17"/>
  <c r="K34" i="17" s="1"/>
  <c r="E28" i="16"/>
  <c r="K28" i="16" s="1"/>
  <c r="E25" i="16"/>
  <c r="K25" i="16" s="1"/>
  <c r="E23" i="16"/>
  <c r="K23" i="16" s="1"/>
  <c r="E24" i="16"/>
  <c r="K24" i="16" s="1"/>
  <c r="E26" i="17"/>
  <c r="K26" i="17" s="1"/>
  <c r="E9" i="16"/>
  <c r="K9" i="16" s="1"/>
  <c r="V17" i="11" l="1"/>
  <c r="O17" i="11"/>
  <c r="O18" i="11" s="1"/>
  <c r="S17" i="11"/>
  <c r="S18" i="11" s="1"/>
  <c r="Q17" i="11"/>
  <c r="Q18" i="11" s="1"/>
  <c r="K17" i="16"/>
  <c r="E18" i="16"/>
  <c r="K20" i="15"/>
  <c r="E38" i="15"/>
  <c r="E39" i="15" s="1"/>
  <c r="T9" i="16"/>
  <c r="K15" i="16"/>
  <c r="T12" i="22"/>
  <c r="T11" i="21"/>
  <c r="T14" i="22"/>
  <c r="L26" i="17"/>
  <c r="T26" i="17"/>
  <c r="V27" i="16"/>
  <c r="U27" i="16"/>
  <c r="T35" i="16"/>
  <c r="L35" i="16"/>
  <c r="T20" i="15"/>
  <c r="T24" i="16"/>
  <c r="L24" i="16"/>
  <c r="T23" i="16"/>
  <c r="U23" i="16" s="1"/>
  <c r="L23" i="16"/>
  <c r="L28" i="16"/>
  <c r="T28" i="16"/>
  <c r="O30" i="16"/>
  <c r="S30" i="16"/>
  <c r="Q30" i="16"/>
  <c r="S31" i="16"/>
  <c r="Q31" i="16"/>
  <c r="O31" i="16"/>
  <c r="L37" i="16"/>
  <c r="T37" i="16"/>
  <c r="L25" i="16"/>
  <c r="T25" i="16"/>
  <c r="Q32" i="17"/>
  <c r="O32" i="17"/>
  <c r="S32" i="17"/>
  <c r="U32" i="17"/>
  <c r="V32" i="17"/>
  <c r="T34" i="17"/>
  <c r="L34" i="17"/>
  <c r="O27" i="16"/>
  <c r="S27" i="16"/>
  <c r="Q27" i="16"/>
  <c r="V31" i="16"/>
  <c r="U31" i="16"/>
  <c r="V30" i="16"/>
  <c r="U30" i="16"/>
  <c r="E10" i="22"/>
  <c r="K10" i="22" s="1"/>
  <c r="E13" i="22"/>
  <c r="K13" i="22" s="1"/>
  <c r="E8" i="23"/>
  <c r="K8" i="23" s="1"/>
  <c r="E36" i="18"/>
  <c r="K36" i="18" s="1"/>
  <c r="E33" i="22"/>
  <c r="K33" i="22" s="1"/>
  <c r="E29" i="17"/>
  <c r="K29" i="17" s="1"/>
  <c r="E22" i="16"/>
  <c r="K22" i="16" s="1"/>
  <c r="E21" i="18"/>
  <c r="K21" i="18" s="1"/>
  <c r="E15" i="16"/>
  <c r="U17" i="11" l="1"/>
  <c r="F17" i="12" s="1"/>
  <c r="V18" i="11"/>
  <c r="G17" i="12"/>
  <c r="K38" i="15"/>
  <c r="K39" i="15" s="1"/>
  <c r="T17" i="16"/>
  <c r="K18" i="16"/>
  <c r="T8" i="23"/>
  <c r="T13" i="22"/>
  <c r="T10" i="22"/>
  <c r="T15" i="16"/>
  <c r="O28" i="16"/>
  <c r="Q28" i="16"/>
  <c r="S28" i="16"/>
  <c r="T21" i="18"/>
  <c r="L22" i="16"/>
  <c r="T22" i="16"/>
  <c r="V34" i="17"/>
  <c r="U34" i="17"/>
  <c r="V25" i="16"/>
  <c r="U25" i="16"/>
  <c r="V23" i="16"/>
  <c r="Q23" i="16"/>
  <c r="O23" i="16"/>
  <c r="S23" i="16"/>
  <c r="S25" i="16"/>
  <c r="Q25" i="16"/>
  <c r="O25" i="16"/>
  <c r="S34" i="17"/>
  <c r="Q34" i="17"/>
  <c r="O34" i="17"/>
  <c r="T29" i="17"/>
  <c r="L29" i="17"/>
  <c r="T33" i="22"/>
  <c r="L33" i="22"/>
  <c r="V37" i="16"/>
  <c r="U37" i="16"/>
  <c r="S24" i="16"/>
  <c r="Q24" i="16"/>
  <c r="O24" i="16"/>
  <c r="T38" i="15"/>
  <c r="T39" i="15" s="1"/>
  <c r="T36" i="18"/>
  <c r="L36" i="18"/>
  <c r="O37" i="16"/>
  <c r="Q37" i="16"/>
  <c r="S37" i="16"/>
  <c r="V24" i="16"/>
  <c r="U24" i="16"/>
  <c r="Q35" i="16"/>
  <c r="O35" i="16"/>
  <c r="S35" i="16"/>
  <c r="V26" i="17"/>
  <c r="U26" i="17"/>
  <c r="V28" i="16"/>
  <c r="U28" i="16"/>
  <c r="U35" i="16"/>
  <c r="V35" i="16"/>
  <c r="Q26" i="17"/>
  <c r="O26" i="17"/>
  <c r="S26" i="17"/>
  <c r="E14" i="23"/>
  <c r="K14" i="23" s="1"/>
  <c r="E12" i="23"/>
  <c r="K12" i="23" s="1"/>
  <c r="E11" i="22"/>
  <c r="K11" i="22" s="1"/>
  <c r="E32" i="18"/>
  <c r="K32" i="18" s="1"/>
  <c r="E27" i="17"/>
  <c r="K27" i="17" s="1"/>
  <c r="E31" i="17"/>
  <c r="K31" i="17" s="1"/>
  <c r="E30" i="17"/>
  <c r="K30" i="17" s="1"/>
  <c r="M17" i="12" l="1"/>
  <c r="G18" i="12"/>
  <c r="T18" i="16"/>
  <c r="E17" i="17"/>
  <c r="T14" i="23"/>
  <c r="T12" i="23"/>
  <c r="T11" i="22"/>
  <c r="S22" i="16"/>
  <c r="Q22" i="16"/>
  <c r="O22" i="16"/>
  <c r="S33" i="22"/>
  <c r="O33" i="22"/>
  <c r="Q33" i="22"/>
  <c r="T31" i="17"/>
  <c r="L31" i="17"/>
  <c r="T27" i="17"/>
  <c r="L27" i="17"/>
  <c r="T32" i="18"/>
  <c r="L32" i="18"/>
  <c r="S36" i="18"/>
  <c r="O36" i="18"/>
  <c r="Q36" i="18"/>
  <c r="U33" i="22"/>
  <c r="V33" i="22"/>
  <c r="Q29" i="17"/>
  <c r="O29" i="17"/>
  <c r="S29" i="17"/>
  <c r="V36" i="18"/>
  <c r="U36" i="18"/>
  <c r="T30" i="17"/>
  <c r="L30" i="17"/>
  <c r="V29" i="17"/>
  <c r="U29" i="17"/>
  <c r="V22" i="16"/>
  <c r="U22" i="16"/>
  <c r="E20" i="16"/>
  <c r="E13" i="23"/>
  <c r="K13" i="23" s="1"/>
  <c r="E10" i="23"/>
  <c r="K10" i="23" s="1"/>
  <c r="E8" i="24"/>
  <c r="K8" i="24" s="1"/>
  <c r="E37" i="17"/>
  <c r="K37" i="17" s="1"/>
  <c r="E35" i="17"/>
  <c r="K35" i="17" s="1"/>
  <c r="E28" i="17"/>
  <c r="K28" i="17" s="1"/>
  <c r="E34" i="18"/>
  <c r="K34" i="18" s="1"/>
  <c r="E23" i="17"/>
  <c r="K23" i="17" s="1"/>
  <c r="E26" i="18"/>
  <c r="K26" i="18" s="1"/>
  <c r="E24" i="17"/>
  <c r="K24" i="17" s="1"/>
  <c r="E25" i="17"/>
  <c r="K25" i="17" s="1"/>
  <c r="E9" i="17"/>
  <c r="K9" i="17" s="1"/>
  <c r="M18" i="12" l="1"/>
  <c r="L17" i="12"/>
  <c r="K17" i="17"/>
  <c r="E18" i="17"/>
  <c r="K20" i="16"/>
  <c r="K38" i="16" s="1"/>
  <c r="K39" i="16" s="1"/>
  <c r="E38" i="16"/>
  <c r="E39" i="16" s="1"/>
  <c r="T10" i="23"/>
  <c r="T13" i="23"/>
  <c r="T9" i="17"/>
  <c r="K15" i="17"/>
  <c r="T8" i="24"/>
  <c r="S32" i="18"/>
  <c r="Q32" i="18"/>
  <c r="O32" i="18"/>
  <c r="V30" i="17"/>
  <c r="U30" i="17"/>
  <c r="U32" i="18"/>
  <c r="V32" i="18"/>
  <c r="T26" i="18"/>
  <c r="L26" i="18"/>
  <c r="T23" i="17"/>
  <c r="L23" i="17"/>
  <c r="T34" i="18"/>
  <c r="L34" i="18"/>
  <c r="S27" i="17"/>
  <c r="O27" i="17"/>
  <c r="Q27" i="17"/>
  <c r="T25" i="17"/>
  <c r="L25" i="17"/>
  <c r="T35" i="17"/>
  <c r="L35" i="17"/>
  <c r="V27" i="17"/>
  <c r="U27" i="17"/>
  <c r="V31" i="17"/>
  <c r="U31" i="17"/>
  <c r="T28" i="17"/>
  <c r="L28" i="17"/>
  <c r="T24" i="17"/>
  <c r="L24" i="17"/>
  <c r="T37" i="17"/>
  <c r="L37" i="17"/>
  <c r="S30" i="17"/>
  <c r="Q30" i="17"/>
  <c r="O30" i="17"/>
  <c r="S31" i="17"/>
  <c r="Q31" i="17"/>
  <c r="O31" i="17"/>
  <c r="E14" i="24"/>
  <c r="K14" i="24" s="1"/>
  <c r="E12" i="24"/>
  <c r="K12" i="24" s="1"/>
  <c r="E11" i="23"/>
  <c r="K11" i="23" s="1"/>
  <c r="E36" i="19"/>
  <c r="K36" i="19" s="1"/>
  <c r="E29" i="18"/>
  <c r="K29" i="18" s="1"/>
  <c r="E33" i="23"/>
  <c r="K33" i="23" s="1"/>
  <c r="E21" i="19"/>
  <c r="K21" i="19" s="1"/>
  <c r="E22" i="17"/>
  <c r="K22" i="17" s="1"/>
  <c r="E15" i="17"/>
  <c r="V17" i="12" l="1"/>
  <c r="S17" i="12"/>
  <c r="S18" i="12" s="1"/>
  <c r="Q17" i="12"/>
  <c r="Q18" i="12" s="1"/>
  <c r="O17" i="12"/>
  <c r="O18" i="12" s="1"/>
  <c r="T17" i="17"/>
  <c r="K18" i="17"/>
  <c r="T20" i="16"/>
  <c r="T11" i="23"/>
  <c r="T12" i="24"/>
  <c r="T14" i="24"/>
  <c r="T15" i="17"/>
  <c r="V25" i="17"/>
  <c r="U25" i="17"/>
  <c r="V26" i="18"/>
  <c r="U26" i="18"/>
  <c r="V37" i="17"/>
  <c r="U37" i="17"/>
  <c r="S26" i="18"/>
  <c r="Q26" i="18"/>
  <c r="O26" i="18"/>
  <c r="T29" i="18"/>
  <c r="L29" i="18"/>
  <c r="S34" i="18"/>
  <c r="Q34" i="18"/>
  <c r="O34" i="18"/>
  <c r="T36" i="19"/>
  <c r="L36" i="19"/>
  <c r="U28" i="17"/>
  <c r="V28" i="17"/>
  <c r="U34" i="18"/>
  <c r="V34" i="18"/>
  <c r="T22" i="17"/>
  <c r="L22" i="17"/>
  <c r="S25" i="17"/>
  <c r="Q25" i="17"/>
  <c r="O25" i="17"/>
  <c r="V23" i="17"/>
  <c r="U23" i="17"/>
  <c r="T21" i="19"/>
  <c r="S24" i="17"/>
  <c r="O24" i="17"/>
  <c r="Q24" i="17"/>
  <c r="T33" i="23"/>
  <c r="L33" i="23"/>
  <c r="U24" i="17"/>
  <c r="V24" i="17"/>
  <c r="S28" i="17"/>
  <c r="Q28" i="17"/>
  <c r="O28" i="17"/>
  <c r="Q35" i="17"/>
  <c r="O35" i="17"/>
  <c r="S35" i="17"/>
  <c r="S37" i="17"/>
  <c r="Q37" i="17"/>
  <c r="O37" i="17"/>
  <c r="V35" i="17"/>
  <c r="U35" i="17"/>
  <c r="O23" i="17"/>
  <c r="S23" i="17"/>
  <c r="Q23" i="17"/>
  <c r="E10" i="24"/>
  <c r="K10" i="24" s="1"/>
  <c r="E13" i="24"/>
  <c r="K13" i="24" s="1"/>
  <c r="T13" i="24" s="1"/>
  <c r="E8" i="25"/>
  <c r="K8" i="25" s="1"/>
  <c r="E30" i="18"/>
  <c r="K30" i="18" s="1"/>
  <c r="E27" i="18"/>
  <c r="K27" i="18" s="1"/>
  <c r="E32" i="19"/>
  <c r="K32" i="19" s="1"/>
  <c r="E31" i="18"/>
  <c r="K31" i="18" s="1"/>
  <c r="U17" i="12" l="1"/>
  <c r="F17" i="13" s="1"/>
  <c r="V18" i="12"/>
  <c r="G17" i="13"/>
  <c r="T38" i="16"/>
  <c r="T39" i="16" s="1"/>
  <c r="T18" i="17"/>
  <c r="E17" i="18"/>
  <c r="T10" i="24"/>
  <c r="T8" i="25"/>
  <c r="T27" i="18"/>
  <c r="L27" i="18"/>
  <c r="S22" i="17"/>
  <c r="O22" i="17"/>
  <c r="Q22" i="17"/>
  <c r="S29" i="18"/>
  <c r="Q29" i="18"/>
  <c r="O29" i="18"/>
  <c r="V22" i="17"/>
  <c r="U22" i="17"/>
  <c r="S36" i="19"/>
  <c r="O36" i="19"/>
  <c r="Q36" i="19"/>
  <c r="V29" i="18"/>
  <c r="U29" i="18"/>
  <c r="T30" i="18"/>
  <c r="L30" i="18"/>
  <c r="U36" i="19"/>
  <c r="V36" i="19"/>
  <c r="L31" i="18"/>
  <c r="T31" i="18"/>
  <c r="S33" i="23"/>
  <c r="O33" i="23"/>
  <c r="Q33" i="23"/>
  <c r="T32" i="19"/>
  <c r="L32" i="19"/>
  <c r="V33" i="23"/>
  <c r="U33" i="23"/>
  <c r="E12" i="25"/>
  <c r="K12" i="25" s="1"/>
  <c r="J12" i="32" s="1"/>
  <c r="M12" i="32" s="1"/>
  <c r="E20" i="17"/>
  <c r="E14" i="25"/>
  <c r="K14" i="25" s="1"/>
  <c r="E11" i="24"/>
  <c r="K11" i="24" s="1"/>
  <c r="E37" i="18"/>
  <c r="K37" i="18" s="1"/>
  <c r="E28" i="18"/>
  <c r="K28" i="18" s="1"/>
  <c r="E35" i="18"/>
  <c r="K35" i="18" s="1"/>
  <c r="E34" i="19"/>
  <c r="K34" i="19" s="1"/>
  <c r="E25" i="18"/>
  <c r="K25" i="18" s="1"/>
  <c r="E26" i="19"/>
  <c r="K26" i="19" s="1"/>
  <c r="E24" i="18"/>
  <c r="K24" i="18" s="1"/>
  <c r="E23" i="18"/>
  <c r="K23" i="18" s="1"/>
  <c r="E9" i="18"/>
  <c r="K9" i="18" s="1"/>
  <c r="M17" i="13" l="1"/>
  <c r="G18" i="13"/>
  <c r="E18" i="18"/>
  <c r="K17" i="18"/>
  <c r="K20" i="17"/>
  <c r="T20" i="17" s="1"/>
  <c r="E38" i="17"/>
  <c r="T11" i="24"/>
  <c r="T14" i="25"/>
  <c r="T9" i="18"/>
  <c r="K15" i="18"/>
  <c r="T12" i="25"/>
  <c r="S32" i="19"/>
  <c r="Q32" i="19"/>
  <c r="O32" i="19"/>
  <c r="T35" i="18"/>
  <c r="L35" i="18"/>
  <c r="U32" i="19"/>
  <c r="V32" i="19"/>
  <c r="L25" i="18"/>
  <c r="T25" i="18"/>
  <c r="V31" i="18"/>
  <c r="U31" i="18"/>
  <c r="S30" i="18"/>
  <c r="O30" i="18"/>
  <c r="Q30" i="18"/>
  <c r="T34" i="19"/>
  <c r="L34" i="19"/>
  <c r="T23" i="18"/>
  <c r="L23" i="18"/>
  <c r="L28" i="18"/>
  <c r="T28" i="18"/>
  <c r="T24" i="18"/>
  <c r="L24" i="18"/>
  <c r="L37" i="18"/>
  <c r="T37" i="18"/>
  <c r="L26" i="19"/>
  <c r="T26" i="19"/>
  <c r="S31" i="18"/>
  <c r="O31" i="18"/>
  <c r="Q31" i="18"/>
  <c r="U30" i="18"/>
  <c r="V30" i="18"/>
  <c r="S27" i="18"/>
  <c r="O27" i="18"/>
  <c r="Q27" i="18"/>
  <c r="U27" i="18"/>
  <c r="V27" i="18"/>
  <c r="E13" i="25"/>
  <c r="K13" i="25" s="1"/>
  <c r="J13" i="32" s="1"/>
  <c r="M13" i="32" s="1"/>
  <c r="E39" i="17"/>
  <c r="E10" i="25"/>
  <c r="K10" i="25" s="1"/>
  <c r="J10" i="32" s="1"/>
  <c r="M10" i="32" s="1"/>
  <c r="E8" i="26"/>
  <c r="K8" i="26" s="1"/>
  <c r="E36" i="20"/>
  <c r="K36" i="20" s="1"/>
  <c r="E33" i="24"/>
  <c r="K33" i="24" s="1"/>
  <c r="E29" i="19"/>
  <c r="K29" i="19" s="1"/>
  <c r="E22" i="18"/>
  <c r="K22" i="18" s="1"/>
  <c r="E21" i="20"/>
  <c r="K21" i="20" s="1"/>
  <c r="E15" i="18"/>
  <c r="M18" i="13" l="1"/>
  <c r="L17" i="13"/>
  <c r="T17" i="18"/>
  <c r="K18" i="18"/>
  <c r="K38" i="17"/>
  <c r="K39" i="17" s="1"/>
  <c r="T15" i="18"/>
  <c r="T8" i="26"/>
  <c r="T13" i="25"/>
  <c r="T10" i="25"/>
  <c r="T21" i="20"/>
  <c r="U24" i="18"/>
  <c r="V24" i="18"/>
  <c r="V34" i="19"/>
  <c r="U34" i="19"/>
  <c r="V25" i="18"/>
  <c r="U25" i="18"/>
  <c r="V26" i="19"/>
  <c r="U26" i="19"/>
  <c r="V28" i="18"/>
  <c r="U28" i="18"/>
  <c r="S25" i="18"/>
  <c r="Q25" i="18"/>
  <c r="O25" i="18"/>
  <c r="S34" i="19"/>
  <c r="Q34" i="19"/>
  <c r="O34" i="19"/>
  <c r="T33" i="24"/>
  <c r="L33" i="24"/>
  <c r="S35" i="18"/>
  <c r="Q35" i="18"/>
  <c r="O35" i="18"/>
  <c r="S24" i="18"/>
  <c r="O24" i="18"/>
  <c r="Q24" i="18"/>
  <c r="L29" i="19"/>
  <c r="T29" i="19"/>
  <c r="T36" i="20"/>
  <c r="L36" i="20"/>
  <c r="U37" i="18"/>
  <c r="V37" i="18"/>
  <c r="S23" i="18"/>
  <c r="Q23" i="18"/>
  <c r="O23" i="18"/>
  <c r="V35" i="18"/>
  <c r="U35" i="18"/>
  <c r="T22" i="18"/>
  <c r="U22" i="18" s="1"/>
  <c r="L22" i="18"/>
  <c r="S26" i="19"/>
  <c r="O26" i="19"/>
  <c r="Q26" i="19"/>
  <c r="Q28" i="18"/>
  <c r="S28" i="18"/>
  <c r="O28" i="18"/>
  <c r="O37" i="18"/>
  <c r="S37" i="18"/>
  <c r="Q37" i="18"/>
  <c r="U23" i="18"/>
  <c r="V23" i="18"/>
  <c r="T38" i="17"/>
  <c r="T39" i="17" s="1"/>
  <c r="E11" i="25"/>
  <c r="K11" i="25" s="1"/>
  <c r="J11" i="32" s="1"/>
  <c r="M11" i="32" s="1"/>
  <c r="E14" i="26"/>
  <c r="K14" i="26" s="1"/>
  <c r="E27" i="19"/>
  <c r="K27" i="19" s="1"/>
  <c r="E32" i="20"/>
  <c r="K32" i="20" s="1"/>
  <c r="E30" i="19"/>
  <c r="K30" i="19" s="1"/>
  <c r="E31" i="19"/>
  <c r="K31" i="19" s="1"/>
  <c r="E12" i="26"/>
  <c r="K12" i="26" s="1"/>
  <c r="V17" i="13" l="1"/>
  <c r="Q17" i="13"/>
  <c r="Q18" i="13" s="1"/>
  <c r="O17" i="13"/>
  <c r="O18" i="13" s="1"/>
  <c r="S17" i="13"/>
  <c r="S18" i="13" s="1"/>
  <c r="T18" i="18"/>
  <c r="E17" i="19"/>
  <c r="T12" i="26"/>
  <c r="T14" i="26"/>
  <c r="T11" i="25"/>
  <c r="T27" i="19"/>
  <c r="L27" i="19"/>
  <c r="Q29" i="19"/>
  <c r="O29" i="19"/>
  <c r="S29" i="19"/>
  <c r="V22" i="18"/>
  <c r="S22" i="18"/>
  <c r="Q22" i="18"/>
  <c r="O22" i="18"/>
  <c r="S36" i="20"/>
  <c r="Q36" i="20"/>
  <c r="O36" i="20"/>
  <c r="S33" i="24"/>
  <c r="O33" i="24"/>
  <c r="Q33" i="24"/>
  <c r="T30" i="19"/>
  <c r="L30" i="19"/>
  <c r="V36" i="20"/>
  <c r="U36" i="20"/>
  <c r="V33" i="24"/>
  <c r="U33" i="24"/>
  <c r="L32" i="20"/>
  <c r="T32" i="20"/>
  <c r="T31" i="19"/>
  <c r="L31" i="19"/>
  <c r="U29" i="19"/>
  <c r="V29" i="19"/>
  <c r="E10" i="26"/>
  <c r="K10" i="26" s="1"/>
  <c r="E20" i="18"/>
  <c r="E13" i="26"/>
  <c r="K13" i="26" s="1"/>
  <c r="E8" i="27"/>
  <c r="K8" i="27" s="1"/>
  <c r="E37" i="19"/>
  <c r="K37" i="19" s="1"/>
  <c r="E34" i="20"/>
  <c r="K34" i="20" s="1"/>
  <c r="E28" i="19"/>
  <c r="K28" i="19" s="1"/>
  <c r="E35" i="19"/>
  <c r="K35" i="19" s="1"/>
  <c r="E23" i="19"/>
  <c r="K23" i="19" s="1"/>
  <c r="E26" i="20"/>
  <c r="K26" i="20" s="1"/>
  <c r="E24" i="19"/>
  <c r="K24" i="19" s="1"/>
  <c r="E25" i="19"/>
  <c r="K25" i="19" s="1"/>
  <c r="E9" i="19"/>
  <c r="K9" i="19" s="1"/>
  <c r="U17" i="13" l="1"/>
  <c r="F17" i="14" s="1"/>
  <c r="V18" i="13"/>
  <c r="G17" i="14"/>
  <c r="K17" i="19"/>
  <c r="E18" i="19"/>
  <c r="K20" i="18"/>
  <c r="K38" i="18" s="1"/>
  <c r="K39" i="18" s="1"/>
  <c r="E38" i="18"/>
  <c r="T13" i="26"/>
  <c r="T9" i="19"/>
  <c r="K15" i="19"/>
  <c r="T8" i="27"/>
  <c r="T10" i="26"/>
  <c r="T24" i="19"/>
  <c r="L24" i="19"/>
  <c r="L26" i="20"/>
  <c r="T26" i="20"/>
  <c r="S30" i="19"/>
  <c r="Q30" i="19"/>
  <c r="O30" i="19"/>
  <c r="V30" i="19"/>
  <c r="U30" i="19"/>
  <c r="T23" i="19"/>
  <c r="L23" i="19"/>
  <c r="V31" i="19"/>
  <c r="U31" i="19"/>
  <c r="T28" i="19"/>
  <c r="L28" i="19"/>
  <c r="O32" i="20"/>
  <c r="S32" i="20"/>
  <c r="Q32" i="20"/>
  <c r="S27" i="19"/>
  <c r="O27" i="19"/>
  <c r="Q27" i="19"/>
  <c r="T37" i="19"/>
  <c r="L37" i="19"/>
  <c r="S31" i="19"/>
  <c r="Q31" i="19"/>
  <c r="O31" i="19"/>
  <c r="L35" i="19"/>
  <c r="T35" i="19"/>
  <c r="V32" i="20"/>
  <c r="U32" i="20"/>
  <c r="T25" i="19"/>
  <c r="L25" i="19"/>
  <c r="L34" i="20"/>
  <c r="T34" i="20"/>
  <c r="V27" i="19"/>
  <c r="U27" i="19"/>
  <c r="E39" i="18"/>
  <c r="E11" i="26"/>
  <c r="K11" i="26" s="1"/>
  <c r="E14" i="27"/>
  <c r="K14" i="27" s="1"/>
  <c r="E33" i="25"/>
  <c r="K33" i="25" s="1"/>
  <c r="J33" i="32" s="1"/>
  <c r="M33" i="32" s="1"/>
  <c r="E29" i="20"/>
  <c r="K29" i="20" s="1"/>
  <c r="E36" i="21"/>
  <c r="K36" i="21" s="1"/>
  <c r="E21" i="21"/>
  <c r="K21" i="21" s="1"/>
  <c r="E22" i="19"/>
  <c r="K22" i="19" s="1"/>
  <c r="E15" i="19"/>
  <c r="M17" i="14" l="1"/>
  <c r="G18" i="14"/>
  <c r="T20" i="18"/>
  <c r="T17" i="19"/>
  <c r="K18" i="19"/>
  <c r="T11" i="26"/>
  <c r="T15" i="19"/>
  <c r="T14" i="27"/>
  <c r="S34" i="20"/>
  <c r="O34" i="20"/>
  <c r="Q34" i="20"/>
  <c r="V37" i="19"/>
  <c r="U37" i="19"/>
  <c r="S28" i="19"/>
  <c r="Q28" i="19"/>
  <c r="O28" i="19"/>
  <c r="Q26" i="20"/>
  <c r="O26" i="20"/>
  <c r="S26" i="20"/>
  <c r="T22" i="19"/>
  <c r="L22" i="19"/>
  <c r="U35" i="19"/>
  <c r="V35" i="19"/>
  <c r="Q35" i="19"/>
  <c r="O35" i="19"/>
  <c r="S35" i="19"/>
  <c r="T36" i="21"/>
  <c r="L36" i="21"/>
  <c r="V28" i="19"/>
  <c r="U28" i="19"/>
  <c r="V34" i="20"/>
  <c r="U34" i="20"/>
  <c r="S37" i="19"/>
  <c r="Q37" i="19"/>
  <c r="O37" i="19"/>
  <c r="T21" i="21"/>
  <c r="V25" i="19"/>
  <c r="U25" i="19"/>
  <c r="S23" i="19"/>
  <c r="O23" i="19"/>
  <c r="Q23" i="19"/>
  <c r="S24" i="19"/>
  <c r="Q24" i="19"/>
  <c r="O24" i="19"/>
  <c r="V26" i="20"/>
  <c r="U26" i="20"/>
  <c r="S25" i="19"/>
  <c r="Q25" i="19"/>
  <c r="O25" i="19"/>
  <c r="L29" i="20"/>
  <c r="T29" i="20"/>
  <c r="T33" i="25"/>
  <c r="L33" i="25"/>
  <c r="T38" i="18"/>
  <c r="T39" i="18" s="1"/>
  <c r="U23" i="19"/>
  <c r="V23" i="19"/>
  <c r="V24" i="19"/>
  <c r="U24" i="19"/>
  <c r="E13" i="27"/>
  <c r="K13" i="27" s="1"/>
  <c r="E8" i="28"/>
  <c r="K8" i="28" s="1"/>
  <c r="E30" i="20"/>
  <c r="K30" i="20" s="1"/>
  <c r="E31" i="20"/>
  <c r="K31" i="20" s="1"/>
  <c r="E32" i="21"/>
  <c r="K32" i="21" s="1"/>
  <c r="E27" i="20"/>
  <c r="K27" i="20" s="1"/>
  <c r="E10" i="27"/>
  <c r="K10" i="27" s="1"/>
  <c r="E12" i="27"/>
  <c r="K12" i="27" s="1"/>
  <c r="M18" i="14" l="1"/>
  <c r="L17" i="14"/>
  <c r="T18" i="19"/>
  <c r="E17" i="20"/>
  <c r="T13" i="27"/>
  <c r="T12" i="27"/>
  <c r="T8" i="28"/>
  <c r="T10" i="27"/>
  <c r="L31" i="20"/>
  <c r="T31" i="20"/>
  <c r="U33" i="25"/>
  <c r="V33" i="25"/>
  <c r="U29" i="20"/>
  <c r="V29" i="20"/>
  <c r="S36" i="21"/>
  <c r="Q36" i="21"/>
  <c r="O36" i="21"/>
  <c r="L32" i="21"/>
  <c r="T32" i="21"/>
  <c r="S33" i="25"/>
  <c r="R33" i="32" s="1"/>
  <c r="O33" i="25"/>
  <c r="Q33" i="25"/>
  <c r="P33" i="32" s="1"/>
  <c r="V36" i="21"/>
  <c r="U36" i="21"/>
  <c r="S22" i="19"/>
  <c r="Q22" i="19"/>
  <c r="O22" i="19"/>
  <c r="T30" i="20"/>
  <c r="L30" i="20"/>
  <c r="S29" i="20"/>
  <c r="Q29" i="20"/>
  <c r="O29" i="20"/>
  <c r="T27" i="20"/>
  <c r="L27" i="20"/>
  <c r="U22" i="19"/>
  <c r="V22" i="19"/>
  <c r="E14" i="28"/>
  <c r="K14" i="28" s="1"/>
  <c r="E20" i="19"/>
  <c r="E11" i="27"/>
  <c r="K11" i="27" s="1"/>
  <c r="E37" i="20"/>
  <c r="K37" i="20" s="1"/>
  <c r="E35" i="20"/>
  <c r="K35" i="20" s="1"/>
  <c r="E34" i="21"/>
  <c r="K34" i="21" s="1"/>
  <c r="E28" i="20"/>
  <c r="K28" i="20" s="1"/>
  <c r="E25" i="20"/>
  <c r="K25" i="20" s="1"/>
  <c r="E23" i="20"/>
  <c r="K23" i="20" s="1"/>
  <c r="E26" i="21"/>
  <c r="K26" i="21" s="1"/>
  <c r="E24" i="20"/>
  <c r="K24" i="20" s="1"/>
  <c r="E9" i="20"/>
  <c r="K9" i="20" s="1"/>
  <c r="V17" i="14" l="1"/>
  <c r="O17" i="14"/>
  <c r="O18" i="14" s="1"/>
  <c r="S17" i="14"/>
  <c r="S18" i="14" s="1"/>
  <c r="Q17" i="14"/>
  <c r="Q18" i="14" s="1"/>
  <c r="K17" i="20"/>
  <c r="E18" i="20"/>
  <c r="K20" i="19"/>
  <c r="T20" i="19" s="1"/>
  <c r="E38" i="19"/>
  <c r="T11" i="27"/>
  <c r="T14" i="28"/>
  <c r="T9" i="20"/>
  <c r="K15" i="20"/>
  <c r="L23" i="20"/>
  <c r="T23" i="20"/>
  <c r="O32" i="21"/>
  <c r="S32" i="21"/>
  <c r="Q32" i="21"/>
  <c r="L28" i="20"/>
  <c r="T28" i="20"/>
  <c r="T34" i="21"/>
  <c r="L34" i="21"/>
  <c r="S27" i="20"/>
  <c r="O27" i="20"/>
  <c r="Q27" i="20"/>
  <c r="V30" i="20"/>
  <c r="U30" i="20"/>
  <c r="V31" i="20"/>
  <c r="U31" i="20"/>
  <c r="L25" i="20"/>
  <c r="T25" i="20"/>
  <c r="S30" i="20"/>
  <c r="Q30" i="20"/>
  <c r="O30" i="20"/>
  <c r="T24" i="20"/>
  <c r="L24" i="20"/>
  <c r="L35" i="20"/>
  <c r="T35" i="20"/>
  <c r="U27" i="20"/>
  <c r="V27" i="20"/>
  <c r="S31" i="20"/>
  <c r="Q31" i="20"/>
  <c r="O31" i="20"/>
  <c r="L26" i="21"/>
  <c r="T26" i="21"/>
  <c r="L37" i="20"/>
  <c r="T37" i="20"/>
  <c r="V32" i="21"/>
  <c r="U32" i="21"/>
  <c r="E39" i="19"/>
  <c r="E13" i="28"/>
  <c r="K13" i="28" s="1"/>
  <c r="E8" i="29"/>
  <c r="K8" i="29" s="1"/>
  <c r="E29" i="21"/>
  <c r="K29" i="21" s="1"/>
  <c r="E36" i="22"/>
  <c r="K36" i="22" s="1"/>
  <c r="E33" i="26"/>
  <c r="K33" i="26" s="1"/>
  <c r="E22" i="20"/>
  <c r="K22" i="20" s="1"/>
  <c r="E21" i="22"/>
  <c r="K21" i="22" s="1"/>
  <c r="E15" i="20"/>
  <c r="U17" i="14" l="1"/>
  <c r="F17" i="15" s="1"/>
  <c r="V18" i="14"/>
  <c r="G17" i="15"/>
  <c r="K38" i="19"/>
  <c r="K39" i="19" s="1"/>
  <c r="T17" i="20"/>
  <c r="K18" i="20"/>
  <c r="T8" i="29"/>
  <c r="T15" i="20"/>
  <c r="T13" i="28"/>
  <c r="S24" i="20"/>
  <c r="O24" i="20"/>
  <c r="Q24" i="20"/>
  <c r="V24" i="20"/>
  <c r="U24" i="20"/>
  <c r="L22" i="20"/>
  <c r="T22" i="20"/>
  <c r="S37" i="20"/>
  <c r="Q37" i="20"/>
  <c r="O37" i="20"/>
  <c r="T33" i="26"/>
  <c r="L33" i="26"/>
  <c r="S25" i="20"/>
  <c r="O25" i="20"/>
  <c r="Q25" i="20"/>
  <c r="O28" i="20"/>
  <c r="S28" i="20"/>
  <c r="Q28" i="20"/>
  <c r="V37" i="20"/>
  <c r="U37" i="20"/>
  <c r="S34" i="21"/>
  <c r="O34" i="21"/>
  <c r="Q34" i="21"/>
  <c r="T36" i="22"/>
  <c r="L36" i="22"/>
  <c r="Q26" i="21"/>
  <c r="O26" i="21"/>
  <c r="S26" i="21"/>
  <c r="V35" i="20"/>
  <c r="U35" i="20"/>
  <c r="U34" i="21"/>
  <c r="V34" i="21"/>
  <c r="T38" i="19"/>
  <c r="T39" i="19" s="1"/>
  <c r="V23" i="20"/>
  <c r="U23" i="20"/>
  <c r="T21" i="22"/>
  <c r="V26" i="21"/>
  <c r="U26" i="21"/>
  <c r="L29" i="21"/>
  <c r="T29" i="21"/>
  <c r="Q35" i="20"/>
  <c r="O35" i="20"/>
  <c r="S35" i="20"/>
  <c r="V25" i="20"/>
  <c r="U25" i="20"/>
  <c r="V28" i="20"/>
  <c r="U28" i="20"/>
  <c r="Q23" i="20"/>
  <c r="S23" i="20"/>
  <c r="O23" i="20"/>
  <c r="E11" i="28"/>
  <c r="K11" i="28" s="1"/>
  <c r="E14" i="29"/>
  <c r="K14" i="29" s="1"/>
  <c r="E27" i="21"/>
  <c r="K27" i="21" s="1"/>
  <c r="E32" i="22"/>
  <c r="K32" i="22" s="1"/>
  <c r="E31" i="21"/>
  <c r="K31" i="21" s="1"/>
  <c r="E30" i="21"/>
  <c r="K30" i="21" s="1"/>
  <c r="E12" i="28"/>
  <c r="K12" i="28" s="1"/>
  <c r="E10" i="28"/>
  <c r="K10" i="28" s="1"/>
  <c r="M17" i="15" l="1"/>
  <c r="G18" i="15"/>
  <c r="T18" i="20"/>
  <c r="E17" i="21"/>
  <c r="T11" i="28"/>
  <c r="T12" i="28"/>
  <c r="T10" i="28"/>
  <c r="T14" i="29"/>
  <c r="U36" i="22"/>
  <c r="V36" i="22"/>
  <c r="S33" i="26"/>
  <c r="Q33" i="26"/>
  <c r="O33" i="26"/>
  <c r="V33" i="26"/>
  <c r="U33" i="26"/>
  <c r="T32" i="22"/>
  <c r="L32" i="22"/>
  <c r="T27" i="21"/>
  <c r="L27" i="21"/>
  <c r="T31" i="21"/>
  <c r="L31" i="21"/>
  <c r="Q22" i="20"/>
  <c r="O22" i="20"/>
  <c r="S22" i="20"/>
  <c r="S36" i="22"/>
  <c r="Q36" i="22"/>
  <c r="O36" i="22"/>
  <c r="V29" i="21"/>
  <c r="U29" i="21"/>
  <c r="T30" i="21"/>
  <c r="L30" i="21"/>
  <c r="S29" i="21"/>
  <c r="Q29" i="21"/>
  <c r="O29" i="21"/>
  <c r="V22" i="20"/>
  <c r="U22" i="20"/>
  <c r="E13" i="29"/>
  <c r="K13" i="29" s="1"/>
  <c r="E20" i="20"/>
  <c r="E8" i="30"/>
  <c r="K8" i="30" s="1"/>
  <c r="E37" i="21"/>
  <c r="K37" i="21" s="1"/>
  <c r="E35" i="21"/>
  <c r="K35" i="21" s="1"/>
  <c r="E34" i="22"/>
  <c r="K34" i="22" s="1"/>
  <c r="E28" i="21"/>
  <c r="K28" i="21" s="1"/>
  <c r="E25" i="21"/>
  <c r="K25" i="21" s="1"/>
  <c r="E23" i="21"/>
  <c r="K23" i="21" s="1"/>
  <c r="E26" i="22"/>
  <c r="K26" i="22" s="1"/>
  <c r="E24" i="21"/>
  <c r="K24" i="21" s="1"/>
  <c r="E9" i="21"/>
  <c r="K9" i="21" s="1"/>
  <c r="M18" i="15" l="1"/>
  <c r="L17" i="15"/>
  <c r="K17" i="21"/>
  <c r="E18" i="21"/>
  <c r="K20" i="20"/>
  <c r="K38" i="20" s="1"/>
  <c r="E38" i="20"/>
  <c r="T8" i="30"/>
  <c r="T13" i="29"/>
  <c r="T9" i="21"/>
  <c r="K15" i="21"/>
  <c r="T26" i="22"/>
  <c r="L26" i="22"/>
  <c r="U30" i="21"/>
  <c r="V30" i="21"/>
  <c r="L23" i="21"/>
  <c r="T23" i="21"/>
  <c r="Q32" i="22"/>
  <c r="S32" i="22"/>
  <c r="O32" i="22"/>
  <c r="V32" i="22"/>
  <c r="U32" i="22"/>
  <c r="T24" i="21"/>
  <c r="L24" i="21"/>
  <c r="S30" i="21"/>
  <c r="O30" i="21"/>
  <c r="Q30" i="21"/>
  <c r="S27" i="21"/>
  <c r="O27" i="21"/>
  <c r="Q27" i="21"/>
  <c r="T37" i="21"/>
  <c r="L37" i="21"/>
  <c r="U27" i="21"/>
  <c r="V27" i="21"/>
  <c r="T25" i="21"/>
  <c r="L25" i="21"/>
  <c r="L35" i="21"/>
  <c r="T35" i="21"/>
  <c r="T28" i="21"/>
  <c r="L28" i="21"/>
  <c r="S31" i="21"/>
  <c r="O31" i="21"/>
  <c r="Q31" i="21"/>
  <c r="L34" i="22"/>
  <c r="T34" i="22"/>
  <c r="V31" i="21"/>
  <c r="U31" i="21"/>
  <c r="E39" i="20"/>
  <c r="E11" i="29"/>
  <c r="K11" i="29" s="1"/>
  <c r="E14" i="30"/>
  <c r="K14" i="30" s="1"/>
  <c r="E33" i="27"/>
  <c r="K33" i="27" s="1"/>
  <c r="E36" i="23"/>
  <c r="K36" i="23" s="1"/>
  <c r="E29" i="22"/>
  <c r="K29" i="22" s="1"/>
  <c r="E21" i="23"/>
  <c r="K21" i="23" s="1"/>
  <c r="E22" i="21"/>
  <c r="K22" i="21" s="1"/>
  <c r="E15" i="21"/>
  <c r="V17" i="15" l="1"/>
  <c r="O17" i="15"/>
  <c r="O18" i="15" s="1"/>
  <c r="Q17" i="15"/>
  <c r="Q18" i="15" s="1"/>
  <c r="S17" i="15"/>
  <c r="S18" i="15" s="1"/>
  <c r="T20" i="20"/>
  <c r="K39" i="20"/>
  <c r="T17" i="21"/>
  <c r="K18" i="21"/>
  <c r="T14" i="30"/>
  <c r="T11" i="29"/>
  <c r="T15" i="21"/>
  <c r="V23" i="21"/>
  <c r="U23" i="21"/>
  <c r="T21" i="23"/>
  <c r="O35" i="21"/>
  <c r="Q35" i="21"/>
  <c r="S35" i="21"/>
  <c r="Q23" i="21"/>
  <c r="O23" i="21"/>
  <c r="S23" i="21"/>
  <c r="T29" i="22"/>
  <c r="L29" i="22"/>
  <c r="T36" i="23"/>
  <c r="L36" i="23"/>
  <c r="S28" i="21"/>
  <c r="O28" i="21"/>
  <c r="Q28" i="21"/>
  <c r="S37" i="21"/>
  <c r="O37" i="21"/>
  <c r="Q37" i="21"/>
  <c r="T33" i="27"/>
  <c r="L33" i="27"/>
  <c r="V34" i="22"/>
  <c r="U34" i="22"/>
  <c r="V28" i="21"/>
  <c r="U28" i="21"/>
  <c r="S25" i="21"/>
  <c r="O25" i="21"/>
  <c r="Q25" i="21"/>
  <c r="U37" i="21"/>
  <c r="V37" i="21"/>
  <c r="Q26" i="22"/>
  <c r="S26" i="22"/>
  <c r="O26" i="22"/>
  <c r="T22" i="21"/>
  <c r="L22" i="21"/>
  <c r="U35" i="21"/>
  <c r="V35" i="21"/>
  <c r="V24" i="21"/>
  <c r="U24" i="21"/>
  <c r="Q34" i="22"/>
  <c r="S34" i="22"/>
  <c r="O34" i="22"/>
  <c r="V25" i="21"/>
  <c r="U25" i="21"/>
  <c r="S24" i="21"/>
  <c r="O24" i="21"/>
  <c r="Q24" i="21"/>
  <c r="T38" i="20"/>
  <c r="T39" i="20" s="1"/>
  <c r="U26" i="22"/>
  <c r="V26" i="22"/>
  <c r="E13" i="30"/>
  <c r="K13" i="30" s="1"/>
  <c r="E8" i="31"/>
  <c r="K8" i="31" s="1"/>
  <c r="E30" i="22"/>
  <c r="K30" i="22" s="1"/>
  <c r="E32" i="23"/>
  <c r="K32" i="23" s="1"/>
  <c r="E27" i="22"/>
  <c r="K27" i="22" s="1"/>
  <c r="E31" i="22"/>
  <c r="K31" i="22" s="1"/>
  <c r="E10" i="29"/>
  <c r="K10" i="29" s="1"/>
  <c r="E12" i="29"/>
  <c r="K12" i="29" s="1"/>
  <c r="U17" i="15" l="1"/>
  <c r="F17" i="16" s="1"/>
  <c r="V18" i="15"/>
  <c r="G17" i="16"/>
  <c r="E17" i="22"/>
  <c r="T18" i="21"/>
  <c r="T8" i="31"/>
  <c r="T12" i="29"/>
  <c r="T10" i="29"/>
  <c r="T13" i="30"/>
  <c r="T27" i="22"/>
  <c r="L27" i="22"/>
  <c r="V36" i="23"/>
  <c r="U36" i="23"/>
  <c r="L32" i="23"/>
  <c r="T32" i="23"/>
  <c r="S36" i="23"/>
  <c r="Q36" i="23"/>
  <c r="O36" i="23"/>
  <c r="T30" i="22"/>
  <c r="L30" i="22"/>
  <c r="V22" i="21"/>
  <c r="U22" i="21"/>
  <c r="S33" i="27"/>
  <c r="O33" i="27"/>
  <c r="Q33" i="27"/>
  <c r="Q29" i="22"/>
  <c r="S29" i="22"/>
  <c r="O29" i="22"/>
  <c r="L31" i="22"/>
  <c r="T31" i="22"/>
  <c r="S22" i="21"/>
  <c r="O22" i="21"/>
  <c r="Q22" i="21"/>
  <c r="V33" i="27"/>
  <c r="U33" i="27"/>
  <c r="U29" i="22"/>
  <c r="V29" i="22"/>
  <c r="E14" i="31"/>
  <c r="K14" i="31" s="1"/>
  <c r="E20" i="21"/>
  <c r="E11" i="30"/>
  <c r="K11" i="30" s="1"/>
  <c r="E37" i="22"/>
  <c r="K37" i="22" s="1"/>
  <c r="E28" i="22"/>
  <c r="K28" i="22" s="1"/>
  <c r="E34" i="23"/>
  <c r="K34" i="23" s="1"/>
  <c r="E35" i="22"/>
  <c r="K35" i="22" s="1"/>
  <c r="E25" i="22"/>
  <c r="K25" i="22" s="1"/>
  <c r="E24" i="22"/>
  <c r="K24" i="22" s="1"/>
  <c r="E23" i="22"/>
  <c r="K23" i="22" s="1"/>
  <c r="E26" i="23"/>
  <c r="K26" i="23" s="1"/>
  <c r="E9" i="22"/>
  <c r="K9" i="22" s="1"/>
  <c r="M17" i="16" l="1"/>
  <c r="G18" i="16"/>
  <c r="K17" i="22"/>
  <c r="E18" i="22"/>
  <c r="K20" i="21"/>
  <c r="T20" i="21" s="1"/>
  <c r="E38" i="21"/>
  <c r="E39" i="21" s="1"/>
  <c r="T9" i="22"/>
  <c r="K15" i="22"/>
  <c r="T11" i="30"/>
  <c r="T14" i="31"/>
  <c r="K38" i="21"/>
  <c r="L37" i="22"/>
  <c r="T37" i="22"/>
  <c r="U30" i="22"/>
  <c r="V30" i="22"/>
  <c r="T35" i="22"/>
  <c r="L35" i="22"/>
  <c r="T23" i="22"/>
  <c r="L23" i="22"/>
  <c r="S32" i="23"/>
  <c r="Q32" i="23"/>
  <c r="O32" i="23"/>
  <c r="T24" i="22"/>
  <c r="L24" i="22"/>
  <c r="V31" i="22"/>
  <c r="U31" i="22"/>
  <c r="L34" i="23"/>
  <c r="T34" i="23"/>
  <c r="O31" i="22"/>
  <c r="S31" i="22"/>
  <c r="Q31" i="22"/>
  <c r="S27" i="22"/>
  <c r="Q27" i="22"/>
  <c r="O27" i="22"/>
  <c r="S30" i="22"/>
  <c r="O30" i="22"/>
  <c r="Q30" i="22"/>
  <c r="L25" i="22"/>
  <c r="T25" i="22"/>
  <c r="T26" i="23"/>
  <c r="L26" i="23"/>
  <c r="L28" i="22"/>
  <c r="T28" i="22"/>
  <c r="V32" i="23"/>
  <c r="U32" i="23"/>
  <c r="U27" i="22"/>
  <c r="V27" i="22"/>
  <c r="E13" i="31"/>
  <c r="K13" i="31" s="1"/>
  <c r="E29" i="23"/>
  <c r="K29" i="23" s="1"/>
  <c r="E33" i="28"/>
  <c r="K33" i="28" s="1"/>
  <c r="E36" i="24"/>
  <c r="K36" i="24" s="1"/>
  <c r="E22" i="22"/>
  <c r="K22" i="22" s="1"/>
  <c r="E21" i="24"/>
  <c r="K21" i="24" s="1"/>
  <c r="E15" i="22"/>
  <c r="M18" i="16" l="1"/>
  <c r="L17" i="16"/>
  <c r="T17" i="22"/>
  <c r="K18" i="22"/>
  <c r="K39" i="21"/>
  <c r="T13" i="31"/>
  <c r="T15" i="22"/>
  <c r="T29" i="23"/>
  <c r="L29" i="23"/>
  <c r="V34" i="23"/>
  <c r="U34" i="23"/>
  <c r="V35" i="22"/>
  <c r="U35" i="22"/>
  <c r="T38" i="21"/>
  <c r="T39" i="21" s="1"/>
  <c r="T21" i="24"/>
  <c r="L22" i="22"/>
  <c r="T22" i="22"/>
  <c r="Q23" i="22"/>
  <c r="S23" i="22"/>
  <c r="O23" i="22"/>
  <c r="V37" i="22"/>
  <c r="U37" i="22"/>
  <c r="O25" i="22"/>
  <c r="S25" i="22"/>
  <c r="Q25" i="22"/>
  <c r="O28" i="22"/>
  <c r="S28" i="22"/>
  <c r="Q28" i="22"/>
  <c r="O26" i="23"/>
  <c r="S26" i="23"/>
  <c r="Q26" i="23"/>
  <c r="T36" i="24"/>
  <c r="L36" i="24"/>
  <c r="U26" i="23"/>
  <c r="V26" i="23"/>
  <c r="S24" i="22"/>
  <c r="O24" i="22"/>
  <c r="Q24" i="22"/>
  <c r="U23" i="22"/>
  <c r="V23" i="22"/>
  <c r="Q37" i="22"/>
  <c r="O37" i="22"/>
  <c r="S37" i="22"/>
  <c r="V28" i="22"/>
  <c r="U28" i="22"/>
  <c r="Q34" i="23"/>
  <c r="O34" i="23"/>
  <c r="S34" i="23"/>
  <c r="T33" i="28"/>
  <c r="L33" i="28"/>
  <c r="V25" i="22"/>
  <c r="U25" i="22"/>
  <c r="V24" i="22"/>
  <c r="U24" i="22"/>
  <c r="Q35" i="22"/>
  <c r="S35" i="22"/>
  <c r="O35" i="22"/>
  <c r="E11" i="31"/>
  <c r="K11" i="31" s="1"/>
  <c r="E32" i="24"/>
  <c r="K32" i="24" s="1"/>
  <c r="E31" i="23"/>
  <c r="K31" i="23" s="1"/>
  <c r="E27" i="23"/>
  <c r="K27" i="23" s="1"/>
  <c r="E30" i="23"/>
  <c r="K30" i="23" s="1"/>
  <c r="E10" i="30"/>
  <c r="K10" i="30" s="1"/>
  <c r="E12" i="30"/>
  <c r="K12" i="30" s="1"/>
  <c r="V17" i="16" l="1"/>
  <c r="Q17" i="16"/>
  <c r="Q18" i="16" s="1"/>
  <c r="S17" i="16"/>
  <c r="S18" i="16" s="1"/>
  <c r="O17" i="16"/>
  <c r="O18" i="16" s="1"/>
  <c r="T18" i="22"/>
  <c r="E17" i="23"/>
  <c r="T12" i="30"/>
  <c r="T11" i="31"/>
  <c r="T10" i="30"/>
  <c r="V22" i="22"/>
  <c r="U22" i="22"/>
  <c r="T27" i="23"/>
  <c r="L27" i="23"/>
  <c r="L31" i="23"/>
  <c r="T31" i="23"/>
  <c r="S33" i="28"/>
  <c r="O33" i="28"/>
  <c r="Q33" i="28"/>
  <c r="S36" i="24"/>
  <c r="O36" i="24"/>
  <c r="Q36" i="24"/>
  <c r="S22" i="22"/>
  <c r="O22" i="22"/>
  <c r="Q22" i="22"/>
  <c r="V36" i="24"/>
  <c r="U36" i="24"/>
  <c r="Q29" i="23"/>
  <c r="S29" i="23"/>
  <c r="O29" i="23"/>
  <c r="T30" i="23"/>
  <c r="L30" i="23"/>
  <c r="T32" i="24"/>
  <c r="U32" i="24" s="1"/>
  <c r="L32" i="24"/>
  <c r="V33" i="28"/>
  <c r="U33" i="28"/>
  <c r="U29" i="23"/>
  <c r="V29" i="23"/>
  <c r="E20" i="22"/>
  <c r="E37" i="23"/>
  <c r="K37" i="23" s="1"/>
  <c r="E34" i="24"/>
  <c r="K34" i="24" s="1"/>
  <c r="E28" i="23"/>
  <c r="K28" i="23" s="1"/>
  <c r="E35" i="23"/>
  <c r="K35" i="23" s="1"/>
  <c r="E23" i="23"/>
  <c r="K23" i="23" s="1"/>
  <c r="E24" i="23"/>
  <c r="K24" i="23" s="1"/>
  <c r="E25" i="23"/>
  <c r="K25" i="23" s="1"/>
  <c r="E26" i="24"/>
  <c r="K26" i="24" s="1"/>
  <c r="E9" i="23"/>
  <c r="K9" i="23" s="1"/>
  <c r="U17" i="16" l="1"/>
  <c r="F17" i="17" s="1"/>
  <c r="V18" i="16"/>
  <c r="G17" i="17"/>
  <c r="K17" i="23"/>
  <c r="E18" i="23"/>
  <c r="K20" i="22"/>
  <c r="E38" i="22"/>
  <c r="E39" i="22" s="1"/>
  <c r="T9" i="23"/>
  <c r="K15" i="23"/>
  <c r="L25" i="23"/>
  <c r="T25" i="23"/>
  <c r="S30" i="23"/>
  <c r="Q30" i="23"/>
  <c r="O30" i="23"/>
  <c r="L23" i="23"/>
  <c r="T23" i="23"/>
  <c r="U31" i="23"/>
  <c r="V31" i="23"/>
  <c r="L34" i="24"/>
  <c r="T34" i="24"/>
  <c r="U27" i="23"/>
  <c r="V27" i="23"/>
  <c r="L37" i="23"/>
  <c r="T37" i="23"/>
  <c r="T35" i="23"/>
  <c r="L35" i="23"/>
  <c r="V32" i="24"/>
  <c r="Q32" i="24"/>
  <c r="S32" i="24"/>
  <c r="O32" i="24"/>
  <c r="O31" i="23"/>
  <c r="S31" i="23"/>
  <c r="Q31" i="23"/>
  <c r="T26" i="24"/>
  <c r="L26" i="24"/>
  <c r="V30" i="23"/>
  <c r="U30" i="23"/>
  <c r="T24" i="23"/>
  <c r="L24" i="23"/>
  <c r="L28" i="23"/>
  <c r="T28" i="23"/>
  <c r="S27" i="23"/>
  <c r="O27" i="23"/>
  <c r="Q27" i="23"/>
  <c r="E33" i="29"/>
  <c r="K33" i="29" s="1"/>
  <c r="E29" i="24"/>
  <c r="K29" i="24" s="1"/>
  <c r="E36" i="25"/>
  <c r="K36" i="25" s="1"/>
  <c r="J36" i="32" s="1"/>
  <c r="M36" i="32" s="1"/>
  <c r="E21" i="25"/>
  <c r="K21" i="25" s="1"/>
  <c r="J21" i="32" s="1"/>
  <c r="M21" i="32" s="1"/>
  <c r="E22" i="23"/>
  <c r="K22" i="23" s="1"/>
  <c r="E15" i="23"/>
  <c r="M17" i="17" l="1"/>
  <c r="G18" i="17"/>
  <c r="T17" i="23"/>
  <c r="K18" i="23"/>
  <c r="T20" i="22"/>
  <c r="K38" i="22"/>
  <c r="K39" i="22" s="1"/>
  <c r="T15" i="23"/>
  <c r="T33" i="29"/>
  <c r="L33" i="29"/>
  <c r="L22" i="23"/>
  <c r="T22" i="23"/>
  <c r="U24" i="23"/>
  <c r="V24" i="23"/>
  <c r="S28" i="23"/>
  <c r="Q28" i="23"/>
  <c r="O28" i="23"/>
  <c r="T21" i="25"/>
  <c r="O35" i="23"/>
  <c r="S35" i="23"/>
  <c r="Q35" i="23"/>
  <c r="U23" i="23"/>
  <c r="V23" i="23"/>
  <c r="V26" i="24"/>
  <c r="U26" i="24"/>
  <c r="S24" i="23"/>
  <c r="O24" i="23"/>
  <c r="Q24" i="23"/>
  <c r="T36" i="25"/>
  <c r="L36" i="25"/>
  <c r="V35" i="23"/>
  <c r="U35" i="23"/>
  <c r="V34" i="24"/>
  <c r="U34" i="24"/>
  <c r="O23" i="23"/>
  <c r="Q23" i="23"/>
  <c r="S23" i="23"/>
  <c r="V25" i="23"/>
  <c r="U25" i="23"/>
  <c r="V37" i="23"/>
  <c r="U37" i="23"/>
  <c r="Q37" i="23"/>
  <c r="S37" i="23"/>
  <c r="O37" i="23"/>
  <c r="L29" i="24"/>
  <c r="T29" i="24"/>
  <c r="V28" i="23"/>
  <c r="U28" i="23"/>
  <c r="Q26" i="24"/>
  <c r="S26" i="24"/>
  <c r="O26" i="24"/>
  <c r="S34" i="24"/>
  <c r="O34" i="24"/>
  <c r="Q34" i="24"/>
  <c r="Q25" i="23"/>
  <c r="S25" i="23"/>
  <c r="O25" i="23"/>
  <c r="E32" i="25"/>
  <c r="K32" i="25" s="1"/>
  <c r="J32" i="32" s="1"/>
  <c r="M32" i="32" s="1"/>
  <c r="E27" i="24"/>
  <c r="K27" i="24" s="1"/>
  <c r="E30" i="24"/>
  <c r="K30" i="24" s="1"/>
  <c r="E31" i="24"/>
  <c r="K31" i="24" s="1"/>
  <c r="E12" i="31"/>
  <c r="K12" i="31" s="1"/>
  <c r="E10" i="31"/>
  <c r="K10" i="31" s="1"/>
  <c r="M18" i="17" l="1"/>
  <c r="L17" i="17"/>
  <c r="T38" i="22"/>
  <c r="T39" i="22" s="1"/>
  <c r="E17" i="24"/>
  <c r="T18" i="23"/>
  <c r="T10" i="31"/>
  <c r="T12" i="31"/>
  <c r="T30" i="24"/>
  <c r="L30" i="24"/>
  <c r="L31" i="24"/>
  <c r="T31" i="24"/>
  <c r="S36" i="25"/>
  <c r="R36" i="32" s="1"/>
  <c r="Q36" i="25"/>
  <c r="P36" i="32" s="1"/>
  <c r="O36" i="25"/>
  <c r="O29" i="24"/>
  <c r="Q29" i="24"/>
  <c r="S29" i="24"/>
  <c r="T27" i="24"/>
  <c r="L27" i="24"/>
  <c r="L32" i="25"/>
  <c r="T32" i="25"/>
  <c r="U36" i="25"/>
  <c r="V36" i="25"/>
  <c r="V22" i="23"/>
  <c r="U22" i="23"/>
  <c r="S33" i="29"/>
  <c r="Q33" i="29"/>
  <c r="O33" i="29"/>
  <c r="V29" i="24"/>
  <c r="U29" i="24"/>
  <c r="Q22" i="23"/>
  <c r="O22" i="23"/>
  <c r="S22" i="23"/>
  <c r="U33" i="29"/>
  <c r="V33" i="29"/>
  <c r="E20" i="23"/>
  <c r="E37" i="24"/>
  <c r="K37" i="24" s="1"/>
  <c r="E35" i="24"/>
  <c r="K35" i="24" s="1"/>
  <c r="E28" i="24"/>
  <c r="K28" i="24" s="1"/>
  <c r="E34" i="25"/>
  <c r="K34" i="25" s="1"/>
  <c r="J34" i="32" s="1"/>
  <c r="M34" i="32" s="1"/>
  <c r="E25" i="24"/>
  <c r="K25" i="24" s="1"/>
  <c r="E24" i="24"/>
  <c r="K24" i="24" s="1"/>
  <c r="E23" i="24"/>
  <c r="K23" i="24" s="1"/>
  <c r="E26" i="25"/>
  <c r="K26" i="25" s="1"/>
  <c r="J26" i="32" s="1"/>
  <c r="M26" i="32" s="1"/>
  <c r="E9" i="24"/>
  <c r="K9" i="24" s="1"/>
  <c r="V17" i="17" l="1"/>
  <c r="O17" i="17"/>
  <c r="O18" i="17" s="1"/>
  <c r="S17" i="17"/>
  <c r="S18" i="17" s="1"/>
  <c r="Q17" i="17"/>
  <c r="Q18" i="17" s="1"/>
  <c r="K17" i="24"/>
  <c r="E18" i="24"/>
  <c r="K20" i="23"/>
  <c r="E38" i="23"/>
  <c r="E39" i="23" s="1"/>
  <c r="T9" i="24"/>
  <c r="K15" i="24"/>
  <c r="L23" i="24"/>
  <c r="T23" i="24"/>
  <c r="S27" i="24"/>
  <c r="Q27" i="24"/>
  <c r="O27" i="24"/>
  <c r="V32" i="25"/>
  <c r="U32" i="25"/>
  <c r="Q32" i="25"/>
  <c r="P32" i="32" s="1"/>
  <c r="O32" i="25"/>
  <c r="S32" i="25"/>
  <c r="R32" i="32" s="1"/>
  <c r="U27" i="24"/>
  <c r="V27" i="24"/>
  <c r="S30" i="24"/>
  <c r="O30" i="24"/>
  <c r="Q30" i="24"/>
  <c r="L28" i="24"/>
  <c r="T28" i="24"/>
  <c r="L35" i="24"/>
  <c r="T35" i="24"/>
  <c r="L37" i="24"/>
  <c r="T37" i="24"/>
  <c r="T24" i="24"/>
  <c r="L24" i="24"/>
  <c r="L25" i="24"/>
  <c r="T25" i="24"/>
  <c r="U31" i="24"/>
  <c r="V31" i="24"/>
  <c r="U30" i="24"/>
  <c r="V30" i="24"/>
  <c r="L26" i="25"/>
  <c r="T26" i="25"/>
  <c r="L34" i="25"/>
  <c r="T34" i="25"/>
  <c r="O31" i="24"/>
  <c r="S31" i="24"/>
  <c r="Q31" i="24"/>
  <c r="E33" i="30"/>
  <c r="K33" i="30" s="1"/>
  <c r="E36" i="26"/>
  <c r="K36" i="26" s="1"/>
  <c r="E29" i="25"/>
  <c r="K29" i="25" s="1"/>
  <c r="J29" i="32" s="1"/>
  <c r="M29" i="32" s="1"/>
  <c r="E22" i="24"/>
  <c r="K22" i="24" s="1"/>
  <c r="E21" i="26"/>
  <c r="K21" i="26" s="1"/>
  <c r="E15" i="24"/>
  <c r="U17" i="17" l="1"/>
  <c r="F17" i="18" s="1"/>
  <c r="V18" i="17"/>
  <c r="G17" i="18"/>
  <c r="K38" i="23"/>
  <c r="K39" i="23" s="1"/>
  <c r="T20" i="23"/>
  <c r="T17" i="24"/>
  <c r="K18" i="24"/>
  <c r="T15" i="24"/>
  <c r="Q25" i="24"/>
  <c r="S25" i="24"/>
  <c r="O25" i="24"/>
  <c r="T33" i="30"/>
  <c r="L33" i="30"/>
  <c r="U24" i="24"/>
  <c r="V24" i="24"/>
  <c r="T38" i="23"/>
  <c r="T39" i="23" s="1"/>
  <c r="V26" i="25"/>
  <c r="U26" i="25"/>
  <c r="V37" i="24"/>
  <c r="U37" i="24"/>
  <c r="O28" i="24"/>
  <c r="S28" i="24"/>
  <c r="Q28" i="24"/>
  <c r="V34" i="25"/>
  <c r="U34" i="25"/>
  <c r="T21" i="26"/>
  <c r="S37" i="24"/>
  <c r="O37" i="24"/>
  <c r="Q37" i="24"/>
  <c r="U23" i="24"/>
  <c r="V23" i="24"/>
  <c r="T36" i="26"/>
  <c r="L36" i="26"/>
  <c r="O35" i="24"/>
  <c r="Q35" i="24"/>
  <c r="S35" i="24"/>
  <c r="O34" i="25"/>
  <c r="Q34" i="25"/>
  <c r="P34" i="32" s="1"/>
  <c r="S34" i="25"/>
  <c r="R34" i="32" s="1"/>
  <c r="S24" i="24"/>
  <c r="O24" i="24"/>
  <c r="Q24" i="24"/>
  <c r="V28" i="24"/>
  <c r="U28" i="24"/>
  <c r="L22" i="24"/>
  <c r="T22" i="24"/>
  <c r="Q26" i="25"/>
  <c r="P26" i="32" s="1"/>
  <c r="O26" i="25"/>
  <c r="S26" i="25"/>
  <c r="R26" i="32" s="1"/>
  <c r="L29" i="25"/>
  <c r="T29" i="25"/>
  <c r="V25" i="24"/>
  <c r="U25" i="24"/>
  <c r="V35" i="24"/>
  <c r="U35" i="24"/>
  <c r="S23" i="24"/>
  <c r="Q23" i="24"/>
  <c r="O23" i="24"/>
  <c r="E31" i="25"/>
  <c r="K31" i="25" s="1"/>
  <c r="J31" i="32" s="1"/>
  <c r="M31" i="32" s="1"/>
  <c r="E27" i="25"/>
  <c r="K27" i="25" s="1"/>
  <c r="J27" i="32" s="1"/>
  <c r="M27" i="32" s="1"/>
  <c r="E32" i="26"/>
  <c r="K32" i="26" s="1"/>
  <c r="E30" i="25"/>
  <c r="K30" i="25" s="1"/>
  <c r="J30" i="32" s="1"/>
  <c r="M30" i="32" s="1"/>
  <c r="M17" i="18" l="1"/>
  <c r="G18" i="18"/>
  <c r="E17" i="25"/>
  <c r="T18" i="24"/>
  <c r="T27" i="25"/>
  <c r="L27" i="25"/>
  <c r="V29" i="25"/>
  <c r="U29" i="25"/>
  <c r="Q22" i="24"/>
  <c r="O22" i="24"/>
  <c r="S22" i="24"/>
  <c r="S36" i="26"/>
  <c r="O36" i="26"/>
  <c r="Q36" i="26"/>
  <c r="V33" i="30"/>
  <c r="U33" i="30"/>
  <c r="U36" i="26"/>
  <c r="V36" i="26"/>
  <c r="T32" i="26"/>
  <c r="L32" i="26"/>
  <c r="L31" i="25"/>
  <c r="T31" i="25"/>
  <c r="O29" i="25"/>
  <c r="Q29" i="25"/>
  <c r="P29" i="32" s="1"/>
  <c r="S29" i="25"/>
  <c r="R29" i="32" s="1"/>
  <c r="T30" i="25"/>
  <c r="L30" i="25"/>
  <c r="V22" i="24"/>
  <c r="U22" i="24"/>
  <c r="S33" i="30"/>
  <c r="O33" i="30"/>
  <c r="Q33" i="30"/>
  <c r="E20" i="24"/>
  <c r="E37" i="25"/>
  <c r="K37" i="25" s="1"/>
  <c r="J37" i="32" s="1"/>
  <c r="M37" i="32" s="1"/>
  <c r="E28" i="25"/>
  <c r="K28" i="25" s="1"/>
  <c r="J28" i="32" s="1"/>
  <c r="M28" i="32" s="1"/>
  <c r="E35" i="25"/>
  <c r="K35" i="25" s="1"/>
  <c r="J35" i="32" s="1"/>
  <c r="M35" i="32" s="1"/>
  <c r="E34" i="26"/>
  <c r="K34" i="26" s="1"/>
  <c r="E24" i="25"/>
  <c r="K24" i="25" s="1"/>
  <c r="J24" i="32" s="1"/>
  <c r="M24" i="32" s="1"/>
  <c r="E26" i="26"/>
  <c r="K26" i="26" s="1"/>
  <c r="E25" i="25"/>
  <c r="K25" i="25" s="1"/>
  <c r="J25" i="32" s="1"/>
  <c r="M25" i="32" s="1"/>
  <c r="E23" i="25"/>
  <c r="K23" i="25" s="1"/>
  <c r="J23" i="32" s="1"/>
  <c r="M23" i="32" s="1"/>
  <c r="E9" i="25"/>
  <c r="K9" i="25" s="1"/>
  <c r="J9" i="32" s="1"/>
  <c r="M9" i="32" s="1"/>
  <c r="M18" i="18" l="1"/>
  <c r="L17" i="18"/>
  <c r="E18" i="25"/>
  <c r="K17" i="25"/>
  <c r="K20" i="24"/>
  <c r="E38" i="24"/>
  <c r="E39" i="24" s="1"/>
  <c r="T9" i="25"/>
  <c r="K15" i="25"/>
  <c r="S27" i="25"/>
  <c r="R27" i="32" s="1"/>
  <c r="O27" i="25"/>
  <c r="Q27" i="25"/>
  <c r="P27" i="32" s="1"/>
  <c r="T24" i="25"/>
  <c r="L24" i="25"/>
  <c r="L28" i="25"/>
  <c r="T28" i="25"/>
  <c r="S30" i="25"/>
  <c r="R30" i="32" s="1"/>
  <c r="O30" i="25"/>
  <c r="Q30" i="25"/>
  <c r="P30" i="32" s="1"/>
  <c r="L25" i="25"/>
  <c r="T25" i="25"/>
  <c r="L37" i="25"/>
  <c r="T37" i="25"/>
  <c r="U30" i="25"/>
  <c r="V30" i="25"/>
  <c r="O32" i="26"/>
  <c r="S32" i="26"/>
  <c r="Q32" i="26"/>
  <c r="U27" i="25"/>
  <c r="V27" i="25"/>
  <c r="S31" i="25"/>
  <c r="R31" i="32" s="1"/>
  <c r="Q31" i="25"/>
  <c r="P31" i="32" s="1"/>
  <c r="O31" i="25"/>
  <c r="T34" i="26"/>
  <c r="L34" i="26"/>
  <c r="L35" i="25"/>
  <c r="T35" i="25"/>
  <c r="L23" i="25"/>
  <c r="T23" i="25"/>
  <c r="L26" i="26"/>
  <c r="T26" i="26"/>
  <c r="T20" i="24"/>
  <c r="K38" i="24"/>
  <c r="K39" i="24" s="1"/>
  <c r="V31" i="25"/>
  <c r="U31" i="25"/>
  <c r="U32" i="26"/>
  <c r="V32" i="26"/>
  <c r="E29" i="26"/>
  <c r="K29" i="26" s="1"/>
  <c r="E33" i="31"/>
  <c r="K33" i="31" s="1"/>
  <c r="E36" i="27"/>
  <c r="K36" i="27" s="1"/>
  <c r="E21" i="27"/>
  <c r="K21" i="27" s="1"/>
  <c r="E22" i="25"/>
  <c r="K22" i="25" s="1"/>
  <c r="J22" i="32" s="1"/>
  <c r="M22" i="32" s="1"/>
  <c r="E15" i="25"/>
  <c r="V17" i="18" l="1"/>
  <c r="S17" i="18"/>
  <c r="S18" i="18" s="1"/>
  <c r="Q17" i="18"/>
  <c r="Q18" i="18" s="1"/>
  <c r="O17" i="18"/>
  <c r="O18" i="18" s="1"/>
  <c r="T17" i="25"/>
  <c r="K18" i="25"/>
  <c r="T15" i="25"/>
  <c r="S26" i="26"/>
  <c r="Q26" i="26"/>
  <c r="O26" i="26"/>
  <c r="V37" i="25"/>
  <c r="U37" i="25"/>
  <c r="Q37" i="25"/>
  <c r="P37" i="32" s="1"/>
  <c r="O37" i="25"/>
  <c r="S37" i="25"/>
  <c r="R37" i="32" s="1"/>
  <c r="V28" i="25"/>
  <c r="U28" i="25"/>
  <c r="S34" i="26"/>
  <c r="Q34" i="26"/>
  <c r="O34" i="26"/>
  <c r="V34" i="26"/>
  <c r="U34" i="26"/>
  <c r="L22" i="25"/>
  <c r="T22" i="25"/>
  <c r="V25" i="25"/>
  <c r="U25" i="25"/>
  <c r="S28" i="25"/>
  <c r="R28" i="32" s="1"/>
  <c r="O28" i="25"/>
  <c r="Q28" i="25"/>
  <c r="P28" i="32" s="1"/>
  <c r="V26" i="26"/>
  <c r="U26" i="26"/>
  <c r="T29" i="26"/>
  <c r="L29" i="26"/>
  <c r="S25" i="25"/>
  <c r="R25" i="32" s="1"/>
  <c r="Q25" i="25"/>
  <c r="P25" i="32" s="1"/>
  <c r="O25" i="25"/>
  <c r="S24" i="25"/>
  <c r="O24" i="25"/>
  <c r="Q24" i="25"/>
  <c r="P24" i="32" s="1"/>
  <c r="T33" i="31"/>
  <c r="L33" i="31"/>
  <c r="U23" i="25"/>
  <c r="V23" i="25"/>
  <c r="O23" i="25"/>
  <c r="Q23" i="25"/>
  <c r="P23" i="32" s="1"/>
  <c r="S23" i="25"/>
  <c r="T21" i="27"/>
  <c r="U35" i="25"/>
  <c r="V35" i="25"/>
  <c r="T36" i="27"/>
  <c r="L36" i="27"/>
  <c r="T38" i="24"/>
  <c r="T39" i="24" s="1"/>
  <c r="O35" i="25"/>
  <c r="Q35" i="25"/>
  <c r="P35" i="32" s="1"/>
  <c r="S35" i="25"/>
  <c r="R35" i="32" s="1"/>
  <c r="U24" i="25"/>
  <c r="V24" i="25"/>
  <c r="E27" i="26"/>
  <c r="K27" i="26" s="1"/>
  <c r="E31" i="26"/>
  <c r="K31" i="26" s="1"/>
  <c r="E30" i="26"/>
  <c r="K30" i="26" s="1"/>
  <c r="E32" i="27"/>
  <c r="K32" i="27" s="1"/>
  <c r="U17" i="18" l="1"/>
  <c r="F17" i="19" s="1"/>
  <c r="V18" i="18"/>
  <c r="G17" i="19"/>
  <c r="E17" i="26"/>
  <c r="T18" i="25"/>
  <c r="O22" i="25"/>
  <c r="S22" i="25"/>
  <c r="Q22" i="25"/>
  <c r="P22" i="32" s="1"/>
  <c r="L32" i="27"/>
  <c r="T32" i="27"/>
  <c r="Q29" i="26"/>
  <c r="O29" i="26"/>
  <c r="S29" i="26"/>
  <c r="T30" i="26"/>
  <c r="L30" i="26"/>
  <c r="U29" i="26"/>
  <c r="V29" i="26"/>
  <c r="V36" i="27"/>
  <c r="U36" i="27"/>
  <c r="U33" i="31"/>
  <c r="V33" i="31"/>
  <c r="T27" i="26"/>
  <c r="L27" i="26"/>
  <c r="S36" i="27"/>
  <c r="Q36" i="27"/>
  <c r="O36" i="27"/>
  <c r="T31" i="26"/>
  <c r="L31" i="26"/>
  <c r="S33" i="31"/>
  <c r="Q33" i="31"/>
  <c r="O33" i="31"/>
  <c r="V22" i="25"/>
  <c r="U22" i="25"/>
  <c r="E20" i="25"/>
  <c r="E37" i="26"/>
  <c r="K37" i="26" s="1"/>
  <c r="E34" i="27"/>
  <c r="K34" i="27" s="1"/>
  <c r="E35" i="26"/>
  <c r="K35" i="26" s="1"/>
  <c r="E28" i="26"/>
  <c r="K28" i="26" s="1"/>
  <c r="E26" i="27"/>
  <c r="K26" i="27" s="1"/>
  <c r="E23" i="26"/>
  <c r="K23" i="26" s="1"/>
  <c r="E24" i="26"/>
  <c r="K24" i="26" s="1"/>
  <c r="E25" i="26"/>
  <c r="K25" i="26" s="1"/>
  <c r="E9" i="26"/>
  <c r="K9" i="26" s="1"/>
  <c r="M17" i="19" l="1"/>
  <c r="G18" i="19"/>
  <c r="K17" i="26"/>
  <c r="E18" i="26"/>
  <c r="K20" i="25"/>
  <c r="J20" i="32" s="1"/>
  <c r="E38" i="25"/>
  <c r="E39" i="25" s="1"/>
  <c r="T9" i="26"/>
  <c r="K15" i="26"/>
  <c r="S32" i="27"/>
  <c r="Q32" i="27"/>
  <c r="O32" i="27"/>
  <c r="T24" i="26"/>
  <c r="L24" i="26"/>
  <c r="T37" i="26"/>
  <c r="L37" i="26"/>
  <c r="S30" i="26"/>
  <c r="O30" i="26"/>
  <c r="Q30" i="26"/>
  <c r="S27" i="26"/>
  <c r="O27" i="26"/>
  <c r="Q27" i="26"/>
  <c r="L25" i="26"/>
  <c r="T25" i="26"/>
  <c r="V30" i="26"/>
  <c r="U30" i="26"/>
  <c r="V32" i="27"/>
  <c r="U32" i="27"/>
  <c r="L34" i="27"/>
  <c r="T34" i="27"/>
  <c r="U27" i="26"/>
  <c r="V27" i="26"/>
  <c r="T23" i="26"/>
  <c r="L23" i="26"/>
  <c r="L26" i="27"/>
  <c r="T26" i="27"/>
  <c r="S31" i="26"/>
  <c r="Q31" i="26"/>
  <c r="O31" i="26"/>
  <c r="T35" i="26"/>
  <c r="L35" i="26"/>
  <c r="T28" i="26"/>
  <c r="L28" i="26"/>
  <c r="U31" i="26"/>
  <c r="V31" i="26"/>
  <c r="E36" i="28"/>
  <c r="K36" i="28" s="1"/>
  <c r="E29" i="27"/>
  <c r="K29" i="27" s="1"/>
  <c r="E21" i="28"/>
  <c r="K21" i="28" s="1"/>
  <c r="E22" i="26"/>
  <c r="K22" i="26" s="1"/>
  <c r="E15" i="26"/>
  <c r="M18" i="19" l="1"/>
  <c r="L17" i="19"/>
  <c r="K18" i="26"/>
  <c r="T17" i="26"/>
  <c r="K38" i="25"/>
  <c r="K39" i="25" s="1"/>
  <c r="M20" i="32"/>
  <c r="J38" i="32"/>
  <c r="T20" i="25"/>
  <c r="T38" i="25" s="1"/>
  <c r="T39" i="25" s="1"/>
  <c r="T15" i="26"/>
  <c r="U24" i="26"/>
  <c r="V24" i="26"/>
  <c r="V23" i="26"/>
  <c r="U23" i="26"/>
  <c r="S28" i="26"/>
  <c r="O28" i="26"/>
  <c r="Q28" i="26"/>
  <c r="T21" i="28"/>
  <c r="L29" i="27"/>
  <c r="T29" i="27"/>
  <c r="S35" i="26"/>
  <c r="Q35" i="26"/>
  <c r="O35" i="26"/>
  <c r="V26" i="27"/>
  <c r="U26" i="27"/>
  <c r="V34" i="27"/>
  <c r="U34" i="27"/>
  <c r="O25" i="26"/>
  <c r="Q25" i="26"/>
  <c r="S25" i="26"/>
  <c r="V28" i="26"/>
  <c r="U28" i="26"/>
  <c r="V25" i="26"/>
  <c r="U25" i="26"/>
  <c r="U35" i="26"/>
  <c r="V35" i="26"/>
  <c r="O26" i="27"/>
  <c r="Q26" i="27"/>
  <c r="S26" i="27"/>
  <c r="O34" i="27"/>
  <c r="S34" i="27"/>
  <c r="Q34" i="27"/>
  <c r="S37" i="26"/>
  <c r="O37" i="26"/>
  <c r="Q37" i="26"/>
  <c r="S24" i="26"/>
  <c r="O24" i="26"/>
  <c r="Q24" i="26"/>
  <c r="T36" i="28"/>
  <c r="L36" i="28"/>
  <c r="L22" i="26"/>
  <c r="T22" i="26"/>
  <c r="Q23" i="26"/>
  <c r="O23" i="26"/>
  <c r="S23" i="26"/>
  <c r="V37" i="26"/>
  <c r="U37" i="26"/>
  <c r="E27" i="27"/>
  <c r="K27" i="27" s="1"/>
  <c r="E31" i="27"/>
  <c r="K31" i="27" s="1"/>
  <c r="E30" i="27"/>
  <c r="K30" i="27" s="1"/>
  <c r="E32" i="28"/>
  <c r="K32" i="28" s="1"/>
  <c r="V17" i="19" l="1"/>
  <c r="O17" i="19"/>
  <c r="O18" i="19" s="1"/>
  <c r="S17" i="19"/>
  <c r="S18" i="19" s="1"/>
  <c r="Q17" i="19"/>
  <c r="Q18" i="19" s="1"/>
  <c r="E17" i="27"/>
  <c r="T18" i="26"/>
  <c r="R38" i="32"/>
  <c r="T27" i="27"/>
  <c r="L27" i="27"/>
  <c r="S36" i="28"/>
  <c r="Q36" i="28"/>
  <c r="O36" i="28"/>
  <c r="V36" i="28"/>
  <c r="U36" i="28"/>
  <c r="L31" i="27"/>
  <c r="T31" i="27"/>
  <c r="V29" i="27"/>
  <c r="U29" i="27"/>
  <c r="O29" i="27"/>
  <c r="S29" i="27"/>
  <c r="Q29" i="27"/>
  <c r="Q22" i="26"/>
  <c r="S22" i="26"/>
  <c r="O22" i="26"/>
  <c r="L32" i="28"/>
  <c r="T32" i="28"/>
  <c r="T30" i="27"/>
  <c r="L30" i="27"/>
  <c r="V22" i="26"/>
  <c r="U22" i="26"/>
  <c r="E20" i="26"/>
  <c r="E37" i="27"/>
  <c r="K37" i="27" s="1"/>
  <c r="E35" i="27"/>
  <c r="K35" i="27" s="1"/>
  <c r="E34" i="28"/>
  <c r="K34" i="28" s="1"/>
  <c r="E28" i="27"/>
  <c r="K28" i="27" s="1"/>
  <c r="E25" i="27"/>
  <c r="K25" i="27" s="1"/>
  <c r="E26" i="28"/>
  <c r="K26" i="28" s="1"/>
  <c r="E23" i="27"/>
  <c r="K23" i="27" s="1"/>
  <c r="E24" i="27"/>
  <c r="K24" i="27" s="1"/>
  <c r="E9" i="27"/>
  <c r="K9" i="27" s="1"/>
  <c r="U17" i="19" l="1"/>
  <c r="F17" i="20" s="1"/>
  <c r="V18" i="19"/>
  <c r="G17" i="20"/>
  <c r="K17" i="27"/>
  <c r="E18" i="27"/>
  <c r="K20" i="26"/>
  <c r="K38" i="26" s="1"/>
  <c r="K39" i="26" s="1"/>
  <c r="E38" i="26"/>
  <c r="E39" i="26" s="1"/>
  <c r="T9" i="27"/>
  <c r="K15" i="27"/>
  <c r="L35" i="27"/>
  <c r="T35" i="27"/>
  <c r="L26" i="28"/>
  <c r="T26" i="28"/>
  <c r="V32" i="28"/>
  <c r="U32" i="28"/>
  <c r="V31" i="27"/>
  <c r="U31" i="27"/>
  <c r="V30" i="27"/>
  <c r="U30" i="27"/>
  <c r="L23" i="27"/>
  <c r="T23" i="27"/>
  <c r="Q32" i="28"/>
  <c r="O32" i="28"/>
  <c r="S32" i="28"/>
  <c r="Q31" i="27"/>
  <c r="S31" i="27"/>
  <c r="O31" i="27"/>
  <c r="T24" i="27"/>
  <c r="L24" i="27"/>
  <c r="S27" i="27"/>
  <c r="Q27" i="27"/>
  <c r="O27" i="27"/>
  <c r="L37" i="27"/>
  <c r="T37" i="27"/>
  <c r="L25" i="27"/>
  <c r="T25" i="27"/>
  <c r="L28" i="27"/>
  <c r="T28" i="27"/>
  <c r="L34" i="28"/>
  <c r="T34" i="28"/>
  <c r="S30" i="27"/>
  <c r="Q30" i="27"/>
  <c r="O30" i="27"/>
  <c r="V27" i="27"/>
  <c r="U27" i="27"/>
  <c r="E29" i="28"/>
  <c r="K29" i="28" s="1"/>
  <c r="E36" i="29"/>
  <c r="K36" i="29" s="1"/>
  <c r="E21" i="29"/>
  <c r="K21" i="29" s="1"/>
  <c r="E22" i="27"/>
  <c r="K22" i="27" s="1"/>
  <c r="E15" i="27"/>
  <c r="M17" i="20" l="1"/>
  <c r="G18" i="20"/>
  <c r="T17" i="27"/>
  <c r="K18" i="27"/>
  <c r="T20" i="26"/>
  <c r="T15" i="27"/>
  <c r="T36" i="29"/>
  <c r="L36" i="29"/>
  <c r="V25" i="27"/>
  <c r="U25" i="27"/>
  <c r="V37" i="27"/>
  <c r="U37" i="27"/>
  <c r="V24" i="27"/>
  <c r="U24" i="27"/>
  <c r="S26" i="28"/>
  <c r="Q26" i="28"/>
  <c r="O26" i="28"/>
  <c r="T21" i="29"/>
  <c r="L29" i="28"/>
  <c r="T29" i="28"/>
  <c r="Q37" i="27"/>
  <c r="O37" i="27"/>
  <c r="S37" i="27"/>
  <c r="V34" i="28"/>
  <c r="U34" i="28"/>
  <c r="U35" i="27"/>
  <c r="V35" i="27"/>
  <c r="V23" i="27"/>
  <c r="U23" i="27"/>
  <c r="O34" i="28"/>
  <c r="S34" i="28"/>
  <c r="Q34" i="28"/>
  <c r="T38" i="26"/>
  <c r="T39" i="26" s="1"/>
  <c r="Q23" i="27"/>
  <c r="O23" i="27"/>
  <c r="S23" i="27"/>
  <c r="S35" i="27"/>
  <c r="Q35" i="27"/>
  <c r="O35" i="27"/>
  <c r="O28" i="27"/>
  <c r="S28" i="27"/>
  <c r="Q28" i="27"/>
  <c r="S24" i="27"/>
  <c r="O24" i="27"/>
  <c r="Q24" i="27"/>
  <c r="V26" i="28"/>
  <c r="U26" i="28"/>
  <c r="Q25" i="27"/>
  <c r="O25" i="27"/>
  <c r="S25" i="27"/>
  <c r="L22" i="27"/>
  <c r="T22" i="27"/>
  <c r="V28" i="27"/>
  <c r="U28" i="27"/>
  <c r="E31" i="28"/>
  <c r="K31" i="28" s="1"/>
  <c r="E32" i="29"/>
  <c r="K32" i="29" s="1"/>
  <c r="E27" i="28"/>
  <c r="K27" i="28" s="1"/>
  <c r="E30" i="28"/>
  <c r="K30" i="28" s="1"/>
  <c r="M18" i="20" l="1"/>
  <c r="L17" i="20"/>
  <c r="E17" i="28"/>
  <c r="T18" i="27"/>
  <c r="V22" i="27"/>
  <c r="U22" i="27"/>
  <c r="L31" i="28"/>
  <c r="T31" i="28"/>
  <c r="T30" i="28"/>
  <c r="L30" i="28"/>
  <c r="V29" i="28"/>
  <c r="U29" i="28"/>
  <c r="Q22" i="27"/>
  <c r="O22" i="27"/>
  <c r="S22" i="27"/>
  <c r="T27" i="28"/>
  <c r="L27" i="28"/>
  <c r="O29" i="28"/>
  <c r="Q29" i="28"/>
  <c r="S29" i="28"/>
  <c r="S36" i="29"/>
  <c r="O36" i="29"/>
  <c r="Q36" i="29"/>
  <c r="L32" i="29"/>
  <c r="T32" i="29"/>
  <c r="U36" i="29"/>
  <c r="V36" i="29"/>
  <c r="E20" i="27"/>
  <c r="E37" i="28"/>
  <c r="K37" i="28" s="1"/>
  <c r="E35" i="28"/>
  <c r="K35" i="28" s="1"/>
  <c r="E28" i="28"/>
  <c r="K28" i="28" s="1"/>
  <c r="E34" i="29"/>
  <c r="K34" i="29" s="1"/>
  <c r="E23" i="28"/>
  <c r="K23" i="28" s="1"/>
  <c r="E24" i="28"/>
  <c r="K24" i="28" s="1"/>
  <c r="E26" i="29"/>
  <c r="K26" i="29" s="1"/>
  <c r="E25" i="28"/>
  <c r="K25" i="28" s="1"/>
  <c r="E9" i="28"/>
  <c r="K9" i="28" s="1"/>
  <c r="V17" i="20" l="1"/>
  <c r="Q17" i="20"/>
  <c r="Q18" i="20" s="1"/>
  <c r="O17" i="20"/>
  <c r="O18" i="20" s="1"/>
  <c r="S17" i="20"/>
  <c r="S18" i="20" s="1"/>
  <c r="E18" i="28"/>
  <c r="K17" i="28"/>
  <c r="K20" i="27"/>
  <c r="E38" i="27"/>
  <c r="E39" i="27" s="1"/>
  <c r="T9" i="28"/>
  <c r="K15" i="28"/>
  <c r="L35" i="28"/>
  <c r="T35" i="28"/>
  <c r="V27" i="28"/>
  <c r="U27" i="28"/>
  <c r="S31" i="28"/>
  <c r="Q31" i="28"/>
  <c r="O31" i="28"/>
  <c r="S30" i="28"/>
  <c r="Q30" i="28"/>
  <c r="O30" i="28"/>
  <c r="L28" i="28"/>
  <c r="T28" i="28"/>
  <c r="T24" i="28"/>
  <c r="L24" i="28"/>
  <c r="U30" i="28"/>
  <c r="V30" i="28"/>
  <c r="L25" i="28"/>
  <c r="T25" i="28"/>
  <c r="L26" i="29"/>
  <c r="T26" i="29"/>
  <c r="L37" i="28"/>
  <c r="T37" i="28"/>
  <c r="L23" i="28"/>
  <c r="T23" i="28"/>
  <c r="V32" i="29"/>
  <c r="U32" i="29"/>
  <c r="L34" i="29"/>
  <c r="T34" i="29"/>
  <c r="O32" i="29"/>
  <c r="Q32" i="29"/>
  <c r="S32" i="29"/>
  <c r="S27" i="28"/>
  <c r="O27" i="28"/>
  <c r="Q27" i="28"/>
  <c r="V31" i="28"/>
  <c r="U31" i="28"/>
  <c r="E36" i="30"/>
  <c r="K36" i="30" s="1"/>
  <c r="E29" i="29"/>
  <c r="K29" i="29" s="1"/>
  <c r="E22" i="28"/>
  <c r="K22" i="28" s="1"/>
  <c r="E21" i="30"/>
  <c r="K21" i="30" s="1"/>
  <c r="E15" i="28"/>
  <c r="U17" i="20" l="1"/>
  <c r="F17" i="21" s="1"/>
  <c r="V18" i="20"/>
  <c r="G17" i="21"/>
  <c r="T20" i="27"/>
  <c r="K38" i="27"/>
  <c r="K39" i="27"/>
  <c r="K18" i="28"/>
  <c r="T17" i="28"/>
  <c r="T15" i="28"/>
  <c r="O34" i="29"/>
  <c r="S34" i="29"/>
  <c r="Q34" i="29"/>
  <c r="Q37" i="28"/>
  <c r="S37" i="28"/>
  <c r="O37" i="28"/>
  <c r="O25" i="28"/>
  <c r="S25" i="28"/>
  <c r="Q25" i="28"/>
  <c r="L22" i="28"/>
  <c r="T22" i="28"/>
  <c r="V25" i="28"/>
  <c r="U25" i="28"/>
  <c r="T36" i="30"/>
  <c r="L36" i="30"/>
  <c r="V26" i="29"/>
  <c r="U26" i="29"/>
  <c r="S24" i="28"/>
  <c r="Q24" i="28"/>
  <c r="O24" i="28"/>
  <c r="U34" i="29"/>
  <c r="V34" i="29"/>
  <c r="T38" i="27"/>
  <c r="T39" i="27" s="1"/>
  <c r="L29" i="29"/>
  <c r="T29" i="29"/>
  <c r="O26" i="29"/>
  <c r="S26" i="29"/>
  <c r="Q26" i="29"/>
  <c r="V24" i="28"/>
  <c r="U24" i="28"/>
  <c r="U35" i="28"/>
  <c r="V35" i="28"/>
  <c r="U23" i="28"/>
  <c r="V23" i="28"/>
  <c r="V28" i="28"/>
  <c r="U28" i="28"/>
  <c r="O35" i="28"/>
  <c r="Q35" i="28"/>
  <c r="S35" i="28"/>
  <c r="V37" i="28"/>
  <c r="U37" i="28"/>
  <c r="T21" i="30"/>
  <c r="O23" i="28"/>
  <c r="S23" i="28"/>
  <c r="Q23" i="28"/>
  <c r="O28" i="28"/>
  <c r="S28" i="28"/>
  <c r="Q28" i="28"/>
  <c r="E30" i="29"/>
  <c r="K30" i="29" s="1"/>
  <c r="E27" i="29"/>
  <c r="K27" i="29" s="1"/>
  <c r="E32" i="30"/>
  <c r="K32" i="30" s="1"/>
  <c r="E31" i="29"/>
  <c r="K31" i="29" s="1"/>
  <c r="M17" i="21" l="1"/>
  <c r="G18" i="21"/>
  <c r="E17" i="29"/>
  <c r="T18" i="28"/>
  <c r="O22" i="28"/>
  <c r="Q22" i="28"/>
  <c r="S22" i="28"/>
  <c r="V29" i="29"/>
  <c r="U29" i="29"/>
  <c r="S36" i="30"/>
  <c r="O36" i="30"/>
  <c r="Q36" i="30"/>
  <c r="V22" i="28"/>
  <c r="U22" i="28"/>
  <c r="T30" i="29"/>
  <c r="L30" i="29"/>
  <c r="O29" i="29"/>
  <c r="S29" i="29"/>
  <c r="Q29" i="29"/>
  <c r="U36" i="30"/>
  <c r="V36" i="30"/>
  <c r="T27" i="29"/>
  <c r="L27" i="29"/>
  <c r="L31" i="29"/>
  <c r="T31" i="29"/>
  <c r="L32" i="30"/>
  <c r="T32" i="30"/>
  <c r="E20" i="28"/>
  <c r="E37" i="29"/>
  <c r="K37" i="29" s="1"/>
  <c r="E35" i="29"/>
  <c r="K35" i="29" s="1"/>
  <c r="E34" i="30"/>
  <c r="K34" i="30" s="1"/>
  <c r="E28" i="29"/>
  <c r="K28" i="29" s="1"/>
  <c r="E26" i="30"/>
  <c r="K26" i="30" s="1"/>
  <c r="E25" i="29"/>
  <c r="K25" i="29" s="1"/>
  <c r="E24" i="29"/>
  <c r="K24" i="29" s="1"/>
  <c r="E23" i="29"/>
  <c r="K23" i="29" s="1"/>
  <c r="E9" i="29"/>
  <c r="K9" i="29" s="1"/>
  <c r="M18" i="21" l="1"/>
  <c r="L17" i="21"/>
  <c r="K17" i="29"/>
  <c r="E18" i="29"/>
  <c r="K20" i="28"/>
  <c r="E38" i="28"/>
  <c r="E39" i="28" s="1"/>
  <c r="T9" i="29"/>
  <c r="K15" i="29"/>
  <c r="L35" i="29"/>
  <c r="T35" i="29"/>
  <c r="S27" i="29"/>
  <c r="Q27" i="29"/>
  <c r="O27" i="29"/>
  <c r="S30" i="29"/>
  <c r="O30" i="29"/>
  <c r="Q30" i="29"/>
  <c r="T24" i="29"/>
  <c r="L24" i="29"/>
  <c r="U27" i="29"/>
  <c r="V27" i="29"/>
  <c r="U30" i="29"/>
  <c r="V30" i="29"/>
  <c r="L37" i="29"/>
  <c r="T37" i="29"/>
  <c r="L25" i="29"/>
  <c r="T25" i="29"/>
  <c r="V32" i="30"/>
  <c r="U32" i="30"/>
  <c r="V31" i="29"/>
  <c r="U31" i="29"/>
  <c r="L28" i="29"/>
  <c r="T28" i="29"/>
  <c r="S31" i="29"/>
  <c r="Q31" i="29"/>
  <c r="O31" i="29"/>
  <c r="L23" i="29"/>
  <c r="T23" i="29"/>
  <c r="T26" i="30"/>
  <c r="L26" i="30"/>
  <c r="O32" i="30"/>
  <c r="S32" i="30"/>
  <c r="Q32" i="30"/>
  <c r="T34" i="30"/>
  <c r="L34" i="30"/>
  <c r="E29" i="30"/>
  <c r="K29" i="30" s="1"/>
  <c r="E36" i="31"/>
  <c r="K36" i="31" s="1"/>
  <c r="E21" i="31"/>
  <c r="K21" i="31" s="1"/>
  <c r="E22" i="29"/>
  <c r="K22" i="29" s="1"/>
  <c r="E15" i="29"/>
  <c r="V17" i="21" l="1"/>
  <c r="O17" i="21"/>
  <c r="O18" i="21" s="1"/>
  <c r="Q17" i="21"/>
  <c r="Q18" i="21" s="1"/>
  <c r="S17" i="21"/>
  <c r="S18" i="21" s="1"/>
  <c r="K18" i="29"/>
  <c r="T17" i="29"/>
  <c r="T20" i="28"/>
  <c r="T38" i="28" s="1"/>
  <c r="T39" i="28" s="1"/>
  <c r="K38" i="28"/>
  <c r="K39" i="28" s="1"/>
  <c r="T15" i="29"/>
  <c r="T21" i="31"/>
  <c r="U24" i="29"/>
  <c r="V24" i="29"/>
  <c r="T29" i="30"/>
  <c r="L29" i="30"/>
  <c r="O26" i="30"/>
  <c r="S26" i="30"/>
  <c r="Q26" i="30"/>
  <c r="V23" i="29"/>
  <c r="U23" i="29"/>
  <c r="S28" i="29"/>
  <c r="Q28" i="29"/>
  <c r="O28" i="29"/>
  <c r="Q25" i="29"/>
  <c r="S25" i="29"/>
  <c r="O25" i="29"/>
  <c r="V28" i="29"/>
  <c r="U28" i="29"/>
  <c r="S34" i="30"/>
  <c r="Q34" i="30"/>
  <c r="O34" i="30"/>
  <c r="V26" i="30"/>
  <c r="U26" i="30"/>
  <c r="Q23" i="29"/>
  <c r="O23" i="29"/>
  <c r="S23" i="29"/>
  <c r="U37" i="29"/>
  <c r="V37" i="29"/>
  <c r="V35" i="29"/>
  <c r="U35" i="29"/>
  <c r="T36" i="31"/>
  <c r="L36" i="31"/>
  <c r="U25" i="29"/>
  <c r="V25" i="29"/>
  <c r="L22" i="29"/>
  <c r="T22" i="29"/>
  <c r="U34" i="30"/>
  <c r="V34" i="30"/>
  <c r="O37" i="29"/>
  <c r="S37" i="29"/>
  <c r="Q37" i="29"/>
  <c r="S24" i="29"/>
  <c r="O24" i="29"/>
  <c r="Q24" i="29"/>
  <c r="S35" i="29"/>
  <c r="Q35" i="29"/>
  <c r="O35" i="29"/>
  <c r="E32" i="31"/>
  <c r="K32" i="31" s="1"/>
  <c r="E30" i="30"/>
  <c r="K30" i="30" s="1"/>
  <c r="E27" i="30"/>
  <c r="K27" i="30" s="1"/>
  <c r="E31" i="30"/>
  <c r="K31" i="30" s="1"/>
  <c r="U17" i="21" l="1"/>
  <c r="F17" i="22" s="1"/>
  <c r="V18" i="21"/>
  <c r="G17" i="22"/>
  <c r="T18" i="29"/>
  <c r="E17" i="30"/>
  <c r="Q29" i="30"/>
  <c r="O29" i="30"/>
  <c r="S29" i="30"/>
  <c r="T32" i="31"/>
  <c r="L32" i="31"/>
  <c r="V22" i="29"/>
  <c r="U22" i="29"/>
  <c r="T31" i="30"/>
  <c r="L31" i="30"/>
  <c r="T27" i="30"/>
  <c r="L27" i="30"/>
  <c r="S36" i="31"/>
  <c r="Q36" i="31"/>
  <c r="O36" i="31"/>
  <c r="U29" i="30"/>
  <c r="V29" i="30"/>
  <c r="S22" i="29"/>
  <c r="Q22" i="29"/>
  <c r="O22" i="29"/>
  <c r="T30" i="30"/>
  <c r="L30" i="30"/>
  <c r="V36" i="31"/>
  <c r="U36" i="31"/>
  <c r="E20" i="29"/>
  <c r="E37" i="30"/>
  <c r="K37" i="30" s="1"/>
  <c r="E35" i="30"/>
  <c r="K35" i="30" s="1"/>
  <c r="E28" i="30"/>
  <c r="K28" i="30" s="1"/>
  <c r="E34" i="31"/>
  <c r="K34" i="31" s="1"/>
  <c r="E24" i="30"/>
  <c r="K24" i="30" s="1"/>
  <c r="E26" i="31"/>
  <c r="K26" i="31" s="1"/>
  <c r="E25" i="30"/>
  <c r="K25" i="30" s="1"/>
  <c r="E23" i="30"/>
  <c r="K23" i="30" s="1"/>
  <c r="E9" i="30"/>
  <c r="K9" i="30" s="1"/>
  <c r="M17" i="22" l="1"/>
  <c r="G18" i="22"/>
  <c r="E18" i="30"/>
  <c r="K17" i="30"/>
  <c r="K20" i="29"/>
  <c r="E38" i="29"/>
  <c r="E39" i="29" s="1"/>
  <c r="T9" i="30"/>
  <c r="K15" i="30"/>
  <c r="U32" i="31"/>
  <c r="V32" i="31"/>
  <c r="T26" i="31"/>
  <c r="L26" i="31"/>
  <c r="S27" i="30"/>
  <c r="Q27" i="30"/>
  <c r="O27" i="30"/>
  <c r="T35" i="30"/>
  <c r="L35" i="30"/>
  <c r="T37" i="30"/>
  <c r="L37" i="30"/>
  <c r="V27" i="30"/>
  <c r="U27" i="30"/>
  <c r="T23" i="30"/>
  <c r="L23" i="30"/>
  <c r="S31" i="30"/>
  <c r="Q31" i="30"/>
  <c r="O31" i="30"/>
  <c r="T25" i="30"/>
  <c r="L25" i="30"/>
  <c r="K38" i="29"/>
  <c r="K39" i="29" s="1"/>
  <c r="T24" i="30"/>
  <c r="L24" i="30"/>
  <c r="T34" i="31"/>
  <c r="L34" i="31"/>
  <c r="S30" i="30"/>
  <c r="O30" i="30"/>
  <c r="Q30" i="30"/>
  <c r="T28" i="30"/>
  <c r="L28" i="30"/>
  <c r="V30" i="30"/>
  <c r="U30" i="30"/>
  <c r="U31" i="30"/>
  <c r="V31" i="30"/>
  <c r="Q32" i="31"/>
  <c r="S32" i="31"/>
  <c r="O32" i="31"/>
  <c r="O32" i="32" s="1"/>
  <c r="E29" i="31"/>
  <c r="K29" i="31" s="1"/>
  <c r="E22" i="30"/>
  <c r="K22" i="30" s="1"/>
  <c r="E15" i="30"/>
  <c r="M18" i="22" l="1"/>
  <c r="L17" i="22"/>
  <c r="K18" i="30"/>
  <c r="T17" i="30"/>
  <c r="T20" i="29"/>
  <c r="T15" i="30"/>
  <c r="S34" i="31"/>
  <c r="O34" i="31"/>
  <c r="Q34" i="31"/>
  <c r="V37" i="30"/>
  <c r="U37" i="30"/>
  <c r="S28" i="30"/>
  <c r="O28" i="30"/>
  <c r="Q28" i="30"/>
  <c r="O23" i="30"/>
  <c r="S23" i="30"/>
  <c r="Q23" i="30"/>
  <c r="Q35" i="30"/>
  <c r="S35" i="30"/>
  <c r="O35" i="30"/>
  <c r="S26" i="31"/>
  <c r="Q26" i="31"/>
  <c r="O26" i="31"/>
  <c r="V34" i="31"/>
  <c r="U34" i="31"/>
  <c r="V28" i="30"/>
  <c r="U28" i="30"/>
  <c r="S24" i="30"/>
  <c r="O24" i="30"/>
  <c r="Q24" i="30"/>
  <c r="S25" i="30"/>
  <c r="Q25" i="30"/>
  <c r="O25" i="30"/>
  <c r="U23" i="30"/>
  <c r="V23" i="30"/>
  <c r="U35" i="30"/>
  <c r="V35" i="30"/>
  <c r="U26" i="31"/>
  <c r="V26" i="31"/>
  <c r="T22" i="30"/>
  <c r="L22" i="30"/>
  <c r="U24" i="30"/>
  <c r="V24" i="30"/>
  <c r="V25" i="30"/>
  <c r="U25" i="30"/>
  <c r="T29" i="31"/>
  <c r="L29" i="31"/>
  <c r="T38" i="29"/>
  <c r="T39" i="29" s="1"/>
  <c r="S37" i="30"/>
  <c r="O37" i="30"/>
  <c r="Q37" i="30"/>
  <c r="E31" i="31"/>
  <c r="K31" i="31" s="1"/>
  <c r="E27" i="31"/>
  <c r="K27" i="31" s="1"/>
  <c r="E30" i="31"/>
  <c r="K30" i="31" s="1"/>
  <c r="V17" i="22" l="1"/>
  <c r="Q17" i="22"/>
  <c r="Q18" i="22" s="1"/>
  <c r="S17" i="22"/>
  <c r="S18" i="22" s="1"/>
  <c r="O17" i="22"/>
  <c r="O18" i="22" s="1"/>
  <c r="O33" i="32"/>
  <c r="E17" i="31"/>
  <c r="T18" i="30"/>
  <c r="Q29" i="31"/>
  <c r="S29" i="31"/>
  <c r="O29" i="31"/>
  <c r="U29" i="31"/>
  <c r="V29" i="31"/>
  <c r="T30" i="31"/>
  <c r="L30" i="31"/>
  <c r="T27" i="31"/>
  <c r="L27" i="31"/>
  <c r="S22" i="30"/>
  <c r="Q22" i="30"/>
  <c r="O22" i="30"/>
  <c r="T31" i="31"/>
  <c r="L31" i="31"/>
  <c r="U22" i="30"/>
  <c r="V22" i="30"/>
  <c r="E20" i="30"/>
  <c r="E37" i="31"/>
  <c r="K37" i="31" s="1"/>
  <c r="E28" i="31"/>
  <c r="K28" i="31" s="1"/>
  <c r="E35" i="31"/>
  <c r="K35" i="31" s="1"/>
  <c r="E24" i="31"/>
  <c r="K24" i="31" s="1"/>
  <c r="E23" i="31"/>
  <c r="K23" i="31" s="1"/>
  <c r="E25" i="31"/>
  <c r="K25" i="31" s="1"/>
  <c r="E9" i="31"/>
  <c r="K9" i="31" s="1"/>
  <c r="U17" i="22" l="1"/>
  <c r="F17" i="23" s="1"/>
  <c r="V18" i="22"/>
  <c r="G17" i="23"/>
  <c r="E18" i="31"/>
  <c r="K17" i="31"/>
  <c r="K20" i="30"/>
  <c r="T20" i="30" s="1"/>
  <c r="E38" i="30"/>
  <c r="T9" i="31"/>
  <c r="K15" i="31"/>
  <c r="T28" i="31"/>
  <c r="L28" i="31"/>
  <c r="V30" i="31"/>
  <c r="U30" i="31"/>
  <c r="T25" i="31"/>
  <c r="L25" i="31"/>
  <c r="T35" i="31"/>
  <c r="U35" i="31" s="1"/>
  <c r="L35" i="31"/>
  <c r="U31" i="31"/>
  <c r="V31" i="31"/>
  <c r="S30" i="31"/>
  <c r="O30" i="31"/>
  <c r="O30" i="32" s="1"/>
  <c r="Q30" i="31"/>
  <c r="T37" i="31"/>
  <c r="L37" i="31"/>
  <c r="S27" i="31"/>
  <c r="O27" i="31"/>
  <c r="Q27" i="31"/>
  <c r="L23" i="31"/>
  <c r="T23" i="31"/>
  <c r="T24" i="31"/>
  <c r="L24" i="31"/>
  <c r="S31" i="31"/>
  <c r="Q31" i="31"/>
  <c r="O31" i="31"/>
  <c r="O31" i="32" s="1"/>
  <c r="V27" i="31"/>
  <c r="U27" i="31"/>
  <c r="E39" i="30"/>
  <c r="E22" i="31"/>
  <c r="K22" i="31" s="1"/>
  <c r="E15" i="31"/>
  <c r="M17" i="23" l="1"/>
  <c r="G18" i="23"/>
  <c r="O26" i="32"/>
  <c r="O29" i="32"/>
  <c r="K18" i="31"/>
  <c r="T17" i="31"/>
  <c r="T18" i="31" s="1"/>
  <c r="K38" i="30"/>
  <c r="K39" i="30" s="1"/>
  <c r="T15" i="31"/>
  <c r="S37" i="31"/>
  <c r="Q37" i="31"/>
  <c r="O37" i="31"/>
  <c r="T38" i="30"/>
  <c r="T39" i="30" s="1"/>
  <c r="S24" i="31"/>
  <c r="Q24" i="31"/>
  <c r="O24" i="31"/>
  <c r="V37" i="31"/>
  <c r="U37" i="31"/>
  <c r="V35" i="31"/>
  <c r="Q35" i="31"/>
  <c r="O35" i="31"/>
  <c r="S35" i="31"/>
  <c r="O23" i="31"/>
  <c r="O23" i="32" s="1"/>
  <c r="S23" i="31"/>
  <c r="Q23" i="31"/>
  <c r="T22" i="31"/>
  <c r="L22" i="31"/>
  <c r="U24" i="31"/>
  <c r="V24" i="31"/>
  <c r="S28" i="31"/>
  <c r="Q28" i="31"/>
  <c r="O28" i="31"/>
  <c r="O28" i="32" s="1"/>
  <c r="V25" i="31"/>
  <c r="U25" i="31"/>
  <c r="V23" i="31"/>
  <c r="U23" i="31"/>
  <c r="S25" i="31"/>
  <c r="O25" i="31"/>
  <c r="O25" i="32" s="1"/>
  <c r="Q25" i="31"/>
  <c r="V28" i="31"/>
  <c r="U28" i="31"/>
  <c r="M18" i="23" l="1"/>
  <c r="L17" i="23"/>
  <c r="O24" i="32"/>
  <c r="O36" i="32"/>
  <c r="O35" i="32"/>
  <c r="O34" i="32"/>
  <c r="O27" i="32"/>
  <c r="I17" i="32"/>
  <c r="H18" i="32"/>
  <c r="V22" i="31"/>
  <c r="U22" i="31"/>
  <c r="S22" i="31"/>
  <c r="Q22" i="31"/>
  <c r="O22" i="31"/>
  <c r="E20" i="31"/>
  <c r="V17" i="23" l="1"/>
  <c r="O17" i="23"/>
  <c r="O18" i="23" s="1"/>
  <c r="S17" i="23"/>
  <c r="S18" i="23" s="1"/>
  <c r="Q17" i="23"/>
  <c r="Q18" i="23" s="1"/>
  <c r="O22" i="32"/>
  <c r="O21" i="32"/>
  <c r="K18" i="32"/>
  <c r="L17" i="32"/>
  <c r="K20" i="31"/>
  <c r="E38" i="31"/>
  <c r="E39" i="31" s="1"/>
  <c r="M38" i="32"/>
  <c r="U17" i="23" l="1"/>
  <c r="F17" i="24" s="1"/>
  <c r="V18" i="23"/>
  <c r="G17" i="24"/>
  <c r="K38" i="31"/>
  <c r="K39" i="31" s="1"/>
  <c r="T20" i="31"/>
  <c r="T38" i="31"/>
  <c r="T39" i="31" s="1"/>
  <c r="M17" i="24" l="1"/>
  <c r="G18" i="24"/>
  <c r="G38" i="7"/>
  <c r="M18" i="24" l="1"/>
  <c r="L17" i="24"/>
  <c r="G10" i="8"/>
  <c r="M10" i="8" s="1"/>
  <c r="L10" i="8" s="1"/>
  <c r="F9" i="8"/>
  <c r="F29" i="8"/>
  <c r="F34" i="8"/>
  <c r="G34" i="8"/>
  <c r="M34" i="8" s="1"/>
  <c r="F28" i="8"/>
  <c r="G28" i="8"/>
  <c r="M28" i="8" s="1"/>
  <c r="F11" i="8"/>
  <c r="G11" i="8"/>
  <c r="M11" i="8" s="1"/>
  <c r="L11" i="8" s="1"/>
  <c r="G20" i="8"/>
  <c r="M20" i="8" s="1"/>
  <c r="L20" i="8" s="1"/>
  <c r="O20" i="8" l="1"/>
  <c r="Q20" i="8"/>
  <c r="S20" i="8"/>
  <c r="V20" i="8"/>
  <c r="V17" i="24"/>
  <c r="S17" i="24"/>
  <c r="S18" i="24" s="1"/>
  <c r="Q17" i="24"/>
  <c r="Q18" i="24" s="1"/>
  <c r="O17" i="24"/>
  <c r="O18" i="24" s="1"/>
  <c r="S11" i="8"/>
  <c r="Q11" i="8"/>
  <c r="O11" i="8"/>
  <c r="V11" i="8"/>
  <c r="U11" i="8" s="1"/>
  <c r="O10" i="8"/>
  <c r="S10" i="8"/>
  <c r="Q10" i="8"/>
  <c r="V10" i="8"/>
  <c r="U10" i="8" s="1"/>
  <c r="F10" i="9" s="1"/>
  <c r="F10" i="8"/>
  <c r="G9" i="8"/>
  <c r="M9" i="8" s="1"/>
  <c r="L9" i="8" s="1"/>
  <c r="G29" i="8"/>
  <c r="M29" i="8" s="1"/>
  <c r="F27" i="8"/>
  <c r="G27" i="8"/>
  <c r="M27" i="8" s="1"/>
  <c r="F30" i="8"/>
  <c r="G30" i="8"/>
  <c r="M30" i="8" s="1"/>
  <c r="F33" i="8"/>
  <c r="G33" i="8"/>
  <c r="M33" i="8" s="1"/>
  <c r="F12" i="8"/>
  <c r="G12" i="8"/>
  <c r="M12" i="8" s="1"/>
  <c r="L12" i="8" s="1"/>
  <c r="F37" i="8"/>
  <c r="G37" i="8"/>
  <c r="M37" i="8" s="1"/>
  <c r="F14" i="8"/>
  <c r="G14" i="8"/>
  <c r="M14" i="8" s="1"/>
  <c r="L14" i="8" s="1"/>
  <c r="F25" i="8"/>
  <c r="G25" i="8"/>
  <c r="M25" i="8" s="1"/>
  <c r="F23" i="8"/>
  <c r="G23" i="8"/>
  <c r="M23" i="8" s="1"/>
  <c r="F35" i="8"/>
  <c r="G35" i="8"/>
  <c r="M35" i="8" s="1"/>
  <c r="F26" i="8"/>
  <c r="G26" i="8"/>
  <c r="M26" i="8" s="1"/>
  <c r="F22" i="8"/>
  <c r="G22" i="8"/>
  <c r="M22" i="8" s="1"/>
  <c r="F21" i="8"/>
  <c r="G21" i="8"/>
  <c r="M21" i="8" s="1"/>
  <c r="L21" i="8" s="1"/>
  <c r="F31" i="8"/>
  <c r="G31" i="8"/>
  <c r="M31" i="8" s="1"/>
  <c r="F36" i="8"/>
  <c r="G36" i="8"/>
  <c r="M36" i="8" s="1"/>
  <c r="F32" i="8"/>
  <c r="G32" i="8"/>
  <c r="M32" i="8" s="1"/>
  <c r="F13" i="8"/>
  <c r="G13" i="8"/>
  <c r="M13" i="8" s="1"/>
  <c r="L13" i="8" s="1"/>
  <c r="G24" i="8"/>
  <c r="M24" i="8" s="1"/>
  <c r="F24" i="8"/>
  <c r="F20" i="8"/>
  <c r="V21" i="8" l="1"/>
  <c r="U21" i="8" s="1"/>
  <c r="S21" i="8"/>
  <c r="Q21" i="8"/>
  <c r="O21" i="8"/>
  <c r="S38" i="8"/>
  <c r="Q38" i="8"/>
  <c r="O38" i="8"/>
  <c r="U20" i="8"/>
  <c r="V38" i="8"/>
  <c r="U17" i="24"/>
  <c r="F17" i="25" s="1"/>
  <c r="V18" i="24"/>
  <c r="G17" i="25"/>
  <c r="M38" i="8"/>
  <c r="O13" i="8"/>
  <c r="S13" i="8"/>
  <c r="Q13" i="8"/>
  <c r="V13" i="8"/>
  <c r="U13" i="8" s="1"/>
  <c r="S12" i="8"/>
  <c r="O12" i="8"/>
  <c r="Q12" i="8"/>
  <c r="V12" i="8"/>
  <c r="U12" i="8" s="1"/>
  <c r="G10" i="9"/>
  <c r="M10" i="9" s="1"/>
  <c r="L10" i="9" s="1"/>
  <c r="Q10" i="9" s="1"/>
  <c r="O9" i="8"/>
  <c r="S9" i="8"/>
  <c r="Q9" i="8"/>
  <c r="V9" i="8"/>
  <c r="U9" i="8" s="1"/>
  <c r="S14" i="8"/>
  <c r="Q14" i="8"/>
  <c r="O14" i="8"/>
  <c r="V14" i="8"/>
  <c r="U14" i="8" s="1"/>
  <c r="G38" i="8"/>
  <c r="F34" i="9"/>
  <c r="G34" i="9"/>
  <c r="M34" i="9" s="1"/>
  <c r="F11" i="9"/>
  <c r="G11" i="9"/>
  <c r="M11" i="9" s="1"/>
  <c r="L11" i="9" s="1"/>
  <c r="F29" i="9"/>
  <c r="G29" i="9"/>
  <c r="M29" i="9" s="1"/>
  <c r="F28" i="9"/>
  <c r="G28" i="9"/>
  <c r="M28" i="9" s="1"/>
  <c r="M17" i="25" l="1"/>
  <c r="G18" i="25"/>
  <c r="P17" i="32"/>
  <c r="P18" i="32" s="1"/>
  <c r="V10" i="9"/>
  <c r="U10" i="9" s="1"/>
  <c r="S10" i="9"/>
  <c r="O10" i="9"/>
  <c r="G9" i="9"/>
  <c r="M9" i="9" s="1"/>
  <c r="L9" i="9" s="1"/>
  <c r="Q9" i="9" s="1"/>
  <c r="Q11" i="9"/>
  <c r="O11" i="9"/>
  <c r="S11" i="9"/>
  <c r="V11" i="9"/>
  <c r="U11" i="9" s="1"/>
  <c r="F9" i="9"/>
  <c r="F10" i="10"/>
  <c r="F27" i="9"/>
  <c r="G27" i="9"/>
  <c r="M27" i="9" s="1"/>
  <c r="F12" i="9"/>
  <c r="G12" i="9"/>
  <c r="M12" i="9" s="1"/>
  <c r="L12" i="9" s="1"/>
  <c r="F31" i="9"/>
  <c r="G31" i="9"/>
  <c r="M31" i="9" s="1"/>
  <c r="F35" i="9"/>
  <c r="G35" i="9"/>
  <c r="M35" i="9" s="1"/>
  <c r="F22" i="9"/>
  <c r="G22" i="9"/>
  <c r="M22" i="9" s="1"/>
  <c r="F37" i="9"/>
  <c r="G37" i="9"/>
  <c r="M37" i="9" s="1"/>
  <c r="F36" i="9"/>
  <c r="G36" i="9"/>
  <c r="M36" i="9" s="1"/>
  <c r="F24" i="9"/>
  <c r="G24" i="9"/>
  <c r="M24" i="9" s="1"/>
  <c r="F33" i="9"/>
  <c r="G33" i="9"/>
  <c r="M33" i="9" s="1"/>
  <c r="F14" i="9"/>
  <c r="G14" i="9"/>
  <c r="M14" i="9" s="1"/>
  <c r="L14" i="9" s="1"/>
  <c r="F13" i="9"/>
  <c r="G13" i="9"/>
  <c r="M13" i="9" s="1"/>
  <c r="L13" i="9" s="1"/>
  <c r="F30" i="9"/>
  <c r="G30" i="9"/>
  <c r="M30" i="9" s="1"/>
  <c r="F26" i="9"/>
  <c r="G26" i="9"/>
  <c r="M26" i="9" s="1"/>
  <c r="F32" i="9"/>
  <c r="G32" i="9"/>
  <c r="M32" i="9" s="1"/>
  <c r="F23" i="9"/>
  <c r="G23" i="9"/>
  <c r="M23" i="9" s="1"/>
  <c r="F21" i="9"/>
  <c r="G21" i="9"/>
  <c r="M21" i="9" s="1"/>
  <c r="L21" i="9" s="1"/>
  <c r="F25" i="9"/>
  <c r="G25" i="9"/>
  <c r="M25" i="9" s="1"/>
  <c r="G20" i="9"/>
  <c r="M20" i="9" s="1"/>
  <c r="L20" i="9" s="1"/>
  <c r="S21" i="9" l="1"/>
  <c r="O21" i="9"/>
  <c r="Q21" i="9"/>
  <c r="V21" i="9"/>
  <c r="U21" i="9" s="1"/>
  <c r="O20" i="9"/>
  <c r="O38" i="9" s="1"/>
  <c r="S20" i="9"/>
  <c r="S38" i="9" s="1"/>
  <c r="Q20" i="9"/>
  <c r="Q38" i="9" s="1"/>
  <c r="V20" i="9"/>
  <c r="M18" i="25"/>
  <c r="L17" i="25"/>
  <c r="R18" i="32"/>
  <c r="T17" i="32"/>
  <c r="W17" i="32" s="1"/>
  <c r="G10" i="10"/>
  <c r="M10" i="10" s="1"/>
  <c r="L10" i="10" s="1"/>
  <c r="V10" i="10" s="1"/>
  <c r="U10" i="10" s="1"/>
  <c r="N18" i="32"/>
  <c r="O9" i="9"/>
  <c r="S9" i="9"/>
  <c r="V9" i="9"/>
  <c r="U9" i="9" s="1"/>
  <c r="F9" i="10" s="1"/>
  <c r="O13" i="9"/>
  <c r="V13" i="9"/>
  <c r="U13" i="9" s="1"/>
  <c r="Q13" i="9"/>
  <c r="S13" i="9"/>
  <c r="S12" i="9"/>
  <c r="V12" i="9"/>
  <c r="U12" i="9" s="1"/>
  <c r="O12" i="9"/>
  <c r="Q12" i="9"/>
  <c r="S14" i="9"/>
  <c r="Q14" i="9"/>
  <c r="O14" i="9"/>
  <c r="V14" i="9"/>
  <c r="U14" i="9" s="1"/>
  <c r="Q10" i="10"/>
  <c r="O10" i="10"/>
  <c r="M38" i="9"/>
  <c r="F34" i="10"/>
  <c r="G34" i="10"/>
  <c r="M34" i="10" s="1"/>
  <c r="F11" i="10"/>
  <c r="G11" i="10"/>
  <c r="M11" i="10" s="1"/>
  <c r="L11" i="10" s="1"/>
  <c r="F29" i="10"/>
  <c r="G29" i="10"/>
  <c r="M29" i="10" s="1"/>
  <c r="F28" i="10"/>
  <c r="G28" i="10"/>
  <c r="M28" i="10" s="1"/>
  <c r="G38" i="9"/>
  <c r="F20" i="9"/>
  <c r="U20" i="9" l="1"/>
  <c r="V38" i="9"/>
  <c r="V17" i="25"/>
  <c r="O17" i="25"/>
  <c r="O18" i="25" s="1"/>
  <c r="Q17" i="25"/>
  <c r="Q18" i="25" s="1"/>
  <c r="S17" i="25"/>
  <c r="S18" i="25" s="1"/>
  <c r="G9" i="10"/>
  <c r="M9" i="10" s="1"/>
  <c r="L9" i="10" s="1"/>
  <c r="S10" i="10"/>
  <c r="T18" i="32"/>
  <c r="S9" i="10"/>
  <c r="O9" i="10"/>
  <c r="Q9" i="10"/>
  <c r="V9" i="10"/>
  <c r="U9" i="10" s="1"/>
  <c r="O11" i="10"/>
  <c r="S11" i="10"/>
  <c r="Q11" i="10"/>
  <c r="V11" i="10"/>
  <c r="U11" i="10" s="1"/>
  <c r="F10" i="11"/>
  <c r="G10" i="11"/>
  <c r="M10" i="11" s="1"/>
  <c r="L10" i="11" s="1"/>
  <c r="F27" i="10"/>
  <c r="G27" i="10"/>
  <c r="M27" i="10" s="1"/>
  <c r="F36" i="10"/>
  <c r="G36" i="10"/>
  <c r="M36" i="10" s="1"/>
  <c r="F22" i="10"/>
  <c r="G22" i="10"/>
  <c r="M22" i="10" s="1"/>
  <c r="F32" i="10"/>
  <c r="G32" i="10"/>
  <c r="M32" i="10" s="1"/>
  <c r="F23" i="10"/>
  <c r="G23" i="10"/>
  <c r="M23" i="10" s="1"/>
  <c r="F12" i="10"/>
  <c r="G12" i="10"/>
  <c r="M12" i="10" s="1"/>
  <c r="L12" i="10" s="1"/>
  <c r="F26" i="10"/>
  <c r="G26" i="10"/>
  <c r="M26" i="10" s="1"/>
  <c r="F33" i="10"/>
  <c r="G33" i="10"/>
  <c r="M33" i="10" s="1"/>
  <c r="F13" i="10"/>
  <c r="G13" i="10"/>
  <c r="M13" i="10" s="1"/>
  <c r="L13" i="10" s="1"/>
  <c r="F30" i="10"/>
  <c r="G30" i="10"/>
  <c r="M30" i="10" s="1"/>
  <c r="F25" i="10"/>
  <c r="G25" i="10"/>
  <c r="M25" i="10" s="1"/>
  <c r="F24" i="10"/>
  <c r="G24" i="10"/>
  <c r="M24" i="10" s="1"/>
  <c r="F31" i="10"/>
  <c r="G31" i="10"/>
  <c r="M31" i="10" s="1"/>
  <c r="F37" i="10"/>
  <c r="G37" i="10"/>
  <c r="M37" i="10" s="1"/>
  <c r="F35" i="10"/>
  <c r="G35" i="10"/>
  <c r="M35" i="10" s="1"/>
  <c r="F14" i="10"/>
  <c r="G14" i="10"/>
  <c r="M14" i="10" s="1"/>
  <c r="L14" i="10" s="1"/>
  <c r="F21" i="10"/>
  <c r="G21" i="10"/>
  <c r="M21" i="10" s="1"/>
  <c r="L21" i="10" s="1"/>
  <c r="W18" i="32" l="1"/>
  <c r="S21" i="10"/>
  <c r="Q21" i="10"/>
  <c r="O21" i="10"/>
  <c r="V21" i="10"/>
  <c r="U21" i="10" s="1"/>
  <c r="U17" i="25"/>
  <c r="F17" i="26" s="1"/>
  <c r="V18" i="25"/>
  <c r="G17" i="26"/>
  <c r="S13" i="10"/>
  <c r="V13" i="10"/>
  <c r="U13" i="10" s="1"/>
  <c r="Q13" i="10"/>
  <c r="O13" i="10"/>
  <c r="Q12" i="10"/>
  <c r="V12" i="10"/>
  <c r="U12" i="10" s="1"/>
  <c r="O12" i="10"/>
  <c r="S12" i="10"/>
  <c r="O10" i="11"/>
  <c r="S10" i="11"/>
  <c r="Q10" i="11"/>
  <c r="V10" i="11"/>
  <c r="U10" i="11" s="1"/>
  <c r="S14" i="10"/>
  <c r="Q14" i="10"/>
  <c r="O14" i="10"/>
  <c r="V14" i="10"/>
  <c r="U14" i="10" s="1"/>
  <c r="F29" i="11"/>
  <c r="G29" i="11"/>
  <c r="M29" i="11" s="1"/>
  <c r="F11" i="11"/>
  <c r="G11" i="11"/>
  <c r="M11" i="11" s="1"/>
  <c r="L11" i="11" s="1"/>
  <c r="F34" i="11"/>
  <c r="G34" i="11"/>
  <c r="M34" i="11" s="1"/>
  <c r="F28" i="11"/>
  <c r="G28" i="11"/>
  <c r="M28" i="11" s="1"/>
  <c r="F9" i="11"/>
  <c r="G9" i="11"/>
  <c r="M9" i="11" s="1"/>
  <c r="L9" i="11" s="1"/>
  <c r="G20" i="10"/>
  <c r="M20" i="10" s="1"/>
  <c r="M38" i="10" l="1"/>
  <c r="L20" i="10"/>
  <c r="M17" i="26"/>
  <c r="G18" i="26"/>
  <c r="S11" i="11"/>
  <c r="Q11" i="11"/>
  <c r="O11" i="11"/>
  <c r="V11" i="11"/>
  <c r="U11" i="11" s="1"/>
  <c r="S9" i="11"/>
  <c r="Q9" i="11"/>
  <c r="O9" i="11"/>
  <c r="V9" i="11"/>
  <c r="U9" i="11" s="1"/>
  <c r="F10" i="12"/>
  <c r="G10" i="12"/>
  <c r="M10" i="12" s="1"/>
  <c r="L10" i="12" s="1"/>
  <c r="F25" i="11"/>
  <c r="G25" i="11"/>
  <c r="M25" i="11" s="1"/>
  <c r="F13" i="11"/>
  <c r="G13" i="11"/>
  <c r="M13" i="11" s="1"/>
  <c r="L13" i="11" s="1"/>
  <c r="F22" i="11"/>
  <c r="G22" i="11"/>
  <c r="M22" i="11" s="1"/>
  <c r="F32" i="11"/>
  <c r="G32" i="11"/>
  <c r="M32" i="11" s="1"/>
  <c r="F14" i="11"/>
  <c r="G14" i="11"/>
  <c r="M14" i="11" s="1"/>
  <c r="L14" i="11" s="1"/>
  <c r="F37" i="11"/>
  <c r="G37" i="11"/>
  <c r="M37" i="11" s="1"/>
  <c r="F12" i="11"/>
  <c r="G12" i="11"/>
  <c r="M12" i="11" s="1"/>
  <c r="L12" i="11" s="1"/>
  <c r="F23" i="11"/>
  <c r="G23" i="11"/>
  <c r="M23" i="11" s="1"/>
  <c r="F26" i="11"/>
  <c r="G26" i="11"/>
  <c r="M26" i="11" s="1"/>
  <c r="F31" i="11"/>
  <c r="G31" i="11"/>
  <c r="M31" i="11" s="1"/>
  <c r="F35" i="11"/>
  <c r="G35" i="11"/>
  <c r="M35" i="11" s="1"/>
  <c r="F24" i="11"/>
  <c r="G24" i="11"/>
  <c r="M24" i="11" s="1"/>
  <c r="F27" i="11"/>
  <c r="G27" i="11"/>
  <c r="M27" i="11" s="1"/>
  <c r="F33" i="11"/>
  <c r="G33" i="11"/>
  <c r="M33" i="11" s="1"/>
  <c r="F36" i="11"/>
  <c r="G36" i="11"/>
  <c r="M36" i="11" s="1"/>
  <c r="F30" i="11"/>
  <c r="G30" i="11"/>
  <c r="M30" i="11" s="1"/>
  <c r="F21" i="11"/>
  <c r="G21" i="11"/>
  <c r="M21" i="11" s="1"/>
  <c r="L21" i="11" s="1"/>
  <c r="G38" i="10"/>
  <c r="F20" i="10"/>
  <c r="S21" i="11" l="1"/>
  <c r="O21" i="11"/>
  <c r="Q21" i="11"/>
  <c r="V21" i="11"/>
  <c r="U21" i="11" s="1"/>
  <c r="Q20" i="10"/>
  <c r="Q38" i="10" s="1"/>
  <c r="O20" i="10"/>
  <c r="O38" i="10" s="1"/>
  <c r="S20" i="10"/>
  <c r="S38" i="10" s="1"/>
  <c r="V20" i="10"/>
  <c r="M18" i="26"/>
  <c r="L17" i="26"/>
  <c r="V13" i="11"/>
  <c r="U13" i="11" s="1"/>
  <c r="O13" i="11"/>
  <c r="Q13" i="11"/>
  <c r="S13" i="11"/>
  <c r="V12" i="11"/>
  <c r="U12" i="11" s="1"/>
  <c r="O12" i="11"/>
  <c r="S12" i="11"/>
  <c r="Q12" i="11"/>
  <c r="Q10" i="12"/>
  <c r="O10" i="12"/>
  <c r="S10" i="12"/>
  <c r="V10" i="12"/>
  <c r="U10" i="12" s="1"/>
  <c r="S14" i="11"/>
  <c r="Q14" i="11"/>
  <c r="O14" i="11"/>
  <c r="V14" i="11"/>
  <c r="U14" i="11" s="1"/>
  <c r="F9" i="12"/>
  <c r="G9" i="12"/>
  <c r="M9" i="12" s="1"/>
  <c r="L9" i="12" s="1"/>
  <c r="F29" i="12"/>
  <c r="G29" i="12"/>
  <c r="M29" i="12" s="1"/>
  <c r="F28" i="12"/>
  <c r="G28" i="12"/>
  <c r="M28" i="12" s="1"/>
  <c r="F11" i="12"/>
  <c r="G11" i="12"/>
  <c r="M11" i="12" s="1"/>
  <c r="L11" i="12" s="1"/>
  <c r="F34" i="12"/>
  <c r="G34" i="12"/>
  <c r="M34" i="12" s="1"/>
  <c r="U20" i="10" l="1"/>
  <c r="V38" i="10"/>
  <c r="V17" i="26"/>
  <c r="Q17" i="26"/>
  <c r="Q18" i="26" s="1"/>
  <c r="O17" i="26"/>
  <c r="O18" i="26" s="1"/>
  <c r="S17" i="26"/>
  <c r="S18" i="26" s="1"/>
  <c r="O11" i="12"/>
  <c r="S11" i="12"/>
  <c r="Q11" i="12"/>
  <c r="V11" i="12"/>
  <c r="U11" i="12" s="1"/>
  <c r="S9" i="12"/>
  <c r="Q9" i="12"/>
  <c r="O9" i="12"/>
  <c r="V9" i="12"/>
  <c r="F10" i="13"/>
  <c r="G10" i="13"/>
  <c r="M10" i="13" s="1"/>
  <c r="L10" i="13" s="1"/>
  <c r="F24" i="12"/>
  <c r="G24" i="12"/>
  <c r="M24" i="12" s="1"/>
  <c r="F25" i="12"/>
  <c r="G25" i="12"/>
  <c r="M25" i="12" s="1"/>
  <c r="F14" i="12"/>
  <c r="G14" i="12"/>
  <c r="M14" i="12" s="1"/>
  <c r="L14" i="12" s="1"/>
  <c r="F22" i="12"/>
  <c r="G22" i="12"/>
  <c r="M22" i="12" s="1"/>
  <c r="F35" i="12"/>
  <c r="G35" i="12"/>
  <c r="M35" i="12" s="1"/>
  <c r="F31" i="12"/>
  <c r="G31" i="12"/>
  <c r="M31" i="12" s="1"/>
  <c r="F13" i="12"/>
  <c r="G13" i="12"/>
  <c r="M13" i="12" s="1"/>
  <c r="L13" i="12" s="1"/>
  <c r="F36" i="12"/>
  <c r="G36" i="12"/>
  <c r="M36" i="12" s="1"/>
  <c r="F23" i="12"/>
  <c r="G23" i="12"/>
  <c r="M23" i="12" s="1"/>
  <c r="F12" i="12"/>
  <c r="G12" i="12"/>
  <c r="M12" i="12" s="1"/>
  <c r="L12" i="12" s="1"/>
  <c r="F30" i="12"/>
  <c r="G30" i="12"/>
  <c r="M30" i="12" s="1"/>
  <c r="F26" i="12"/>
  <c r="G26" i="12"/>
  <c r="M26" i="12" s="1"/>
  <c r="F37" i="12"/>
  <c r="G37" i="12"/>
  <c r="M37" i="12" s="1"/>
  <c r="F27" i="12"/>
  <c r="G27" i="12"/>
  <c r="M27" i="12" s="1"/>
  <c r="F21" i="12"/>
  <c r="G21" i="12"/>
  <c r="M21" i="12" s="1"/>
  <c r="L21" i="12" s="1"/>
  <c r="F33" i="12"/>
  <c r="G33" i="12"/>
  <c r="M33" i="12" s="1"/>
  <c r="F32" i="12"/>
  <c r="G32" i="12"/>
  <c r="M32" i="12" s="1"/>
  <c r="G20" i="11"/>
  <c r="M20" i="11" s="1"/>
  <c r="Q21" i="12" l="1"/>
  <c r="O21" i="12"/>
  <c r="S21" i="12"/>
  <c r="V21" i="12"/>
  <c r="U21" i="12" s="1"/>
  <c r="M38" i="11"/>
  <c r="L20" i="11"/>
  <c r="U17" i="26"/>
  <c r="F17" i="27" s="1"/>
  <c r="V18" i="26"/>
  <c r="G17" i="27"/>
  <c r="V13" i="12"/>
  <c r="U13" i="12" s="1"/>
  <c r="O13" i="12"/>
  <c r="S13" i="12"/>
  <c r="Q13" i="12"/>
  <c r="O12" i="12"/>
  <c r="Q12" i="12"/>
  <c r="V12" i="12"/>
  <c r="U12" i="12" s="1"/>
  <c r="S12" i="12"/>
  <c r="O10" i="13"/>
  <c r="S10" i="13"/>
  <c r="Q10" i="13"/>
  <c r="V10" i="13"/>
  <c r="U10" i="13" s="1"/>
  <c r="O14" i="12"/>
  <c r="S14" i="12"/>
  <c r="Q14" i="12"/>
  <c r="V14" i="12"/>
  <c r="U14" i="12" s="1"/>
  <c r="U9" i="12"/>
  <c r="F9" i="13" s="1"/>
  <c r="F29" i="13"/>
  <c r="G29" i="13"/>
  <c r="M29" i="13" s="1"/>
  <c r="F28" i="13"/>
  <c r="G28" i="13"/>
  <c r="M28" i="13" s="1"/>
  <c r="G9" i="13"/>
  <c r="M9" i="13" s="1"/>
  <c r="L9" i="13" s="1"/>
  <c r="F11" i="13"/>
  <c r="G11" i="13"/>
  <c r="M11" i="13" s="1"/>
  <c r="L11" i="13" s="1"/>
  <c r="F34" i="13"/>
  <c r="G34" i="13"/>
  <c r="M34" i="13" s="1"/>
  <c r="G22" i="13"/>
  <c r="M22" i="13" s="1"/>
  <c r="G38" i="11"/>
  <c r="F20" i="11"/>
  <c r="V20" i="11" l="1"/>
  <c r="S20" i="11"/>
  <c r="S38" i="11" s="1"/>
  <c r="Q20" i="11"/>
  <c r="Q38" i="11" s="1"/>
  <c r="O20" i="11"/>
  <c r="O38" i="11" s="1"/>
  <c r="M17" i="27"/>
  <c r="G18" i="27"/>
  <c r="Q9" i="13"/>
  <c r="O9" i="13"/>
  <c r="S9" i="13"/>
  <c r="V9" i="13"/>
  <c r="U9" i="13" s="1"/>
  <c r="S11" i="13"/>
  <c r="Q11" i="13"/>
  <c r="O11" i="13"/>
  <c r="V11" i="13"/>
  <c r="U11" i="13" s="1"/>
  <c r="F10" i="14"/>
  <c r="G10" i="14"/>
  <c r="M10" i="14" s="1"/>
  <c r="L10" i="14" s="1"/>
  <c r="F21" i="13"/>
  <c r="G21" i="13"/>
  <c r="M21" i="13" s="1"/>
  <c r="L21" i="13" s="1"/>
  <c r="F13" i="13"/>
  <c r="G13" i="13"/>
  <c r="M13" i="13" s="1"/>
  <c r="L13" i="13" s="1"/>
  <c r="F27" i="13"/>
  <c r="G27" i="13"/>
  <c r="M27" i="13" s="1"/>
  <c r="F35" i="13"/>
  <c r="G35" i="13"/>
  <c r="M35" i="13" s="1"/>
  <c r="F14" i="13"/>
  <c r="G14" i="13"/>
  <c r="M14" i="13" s="1"/>
  <c r="L14" i="13" s="1"/>
  <c r="F32" i="13"/>
  <c r="G32" i="13"/>
  <c r="M32" i="13" s="1"/>
  <c r="F24" i="13"/>
  <c r="G24" i="13"/>
  <c r="M24" i="13" s="1"/>
  <c r="F33" i="13"/>
  <c r="G33" i="13"/>
  <c r="M33" i="13" s="1"/>
  <c r="F31" i="13"/>
  <c r="G31" i="13"/>
  <c r="M31" i="13" s="1"/>
  <c r="F26" i="13"/>
  <c r="G26" i="13"/>
  <c r="M26" i="13" s="1"/>
  <c r="F12" i="13"/>
  <c r="G12" i="13"/>
  <c r="M12" i="13" s="1"/>
  <c r="L12" i="13" s="1"/>
  <c r="F37" i="13"/>
  <c r="G37" i="13"/>
  <c r="M37" i="13" s="1"/>
  <c r="F23" i="13"/>
  <c r="G23" i="13"/>
  <c r="M23" i="13" s="1"/>
  <c r="F36" i="13"/>
  <c r="G36" i="13"/>
  <c r="M36" i="13" s="1"/>
  <c r="F25" i="13"/>
  <c r="G25" i="13"/>
  <c r="M25" i="13" s="1"/>
  <c r="F30" i="13"/>
  <c r="G30" i="13"/>
  <c r="M30" i="13" s="1"/>
  <c r="F22" i="13"/>
  <c r="S21" i="13" l="1"/>
  <c r="O21" i="13"/>
  <c r="Q21" i="13"/>
  <c r="V21" i="13"/>
  <c r="U21" i="13" s="1"/>
  <c r="U20" i="11"/>
  <c r="V38" i="11"/>
  <c r="M18" i="27"/>
  <c r="L17" i="27"/>
  <c r="S13" i="13"/>
  <c r="Q13" i="13"/>
  <c r="O13" i="13"/>
  <c r="V13" i="13"/>
  <c r="U13" i="13" s="1"/>
  <c r="S12" i="13"/>
  <c r="Q12" i="13"/>
  <c r="O12" i="13"/>
  <c r="V12" i="13"/>
  <c r="U12" i="13" s="1"/>
  <c r="S10" i="14"/>
  <c r="Q10" i="14"/>
  <c r="O10" i="14"/>
  <c r="V10" i="14"/>
  <c r="U10" i="14" s="1"/>
  <c r="O14" i="13"/>
  <c r="Q14" i="13"/>
  <c r="S14" i="13"/>
  <c r="V14" i="13"/>
  <c r="U14" i="13" s="1"/>
  <c r="F11" i="14"/>
  <c r="G11" i="14"/>
  <c r="M11" i="14" s="1"/>
  <c r="L11" i="14" s="1"/>
  <c r="F28" i="14"/>
  <c r="G28" i="14"/>
  <c r="M28" i="14" s="1"/>
  <c r="F9" i="14"/>
  <c r="G9" i="14"/>
  <c r="M9" i="14" s="1"/>
  <c r="L9" i="14" s="1"/>
  <c r="F34" i="14"/>
  <c r="G34" i="14"/>
  <c r="M34" i="14" s="1"/>
  <c r="F22" i="14"/>
  <c r="G22" i="14"/>
  <c r="M22" i="14" s="1"/>
  <c r="F29" i="14"/>
  <c r="G29" i="14"/>
  <c r="M29" i="14" s="1"/>
  <c r="G20" i="12"/>
  <c r="M20" i="12" s="1"/>
  <c r="M38" i="12" l="1"/>
  <c r="L20" i="12"/>
  <c r="V17" i="27"/>
  <c r="Q17" i="27"/>
  <c r="Q18" i="27" s="1"/>
  <c r="O17" i="27"/>
  <c r="O18" i="27" s="1"/>
  <c r="S17" i="27"/>
  <c r="S18" i="27" s="1"/>
  <c r="S9" i="14"/>
  <c r="O9" i="14"/>
  <c r="Q9" i="14"/>
  <c r="V9" i="14"/>
  <c r="U9" i="14" s="1"/>
  <c r="V11" i="14"/>
  <c r="U11" i="14" s="1"/>
  <c r="S11" i="14"/>
  <c r="Q11" i="14"/>
  <c r="O11" i="14"/>
  <c r="F10" i="15"/>
  <c r="G10" i="15"/>
  <c r="M10" i="15" s="1"/>
  <c r="L10" i="15" s="1"/>
  <c r="F30" i="14"/>
  <c r="G30" i="14"/>
  <c r="M30" i="14" s="1"/>
  <c r="F32" i="14"/>
  <c r="G32" i="14"/>
  <c r="M32" i="14" s="1"/>
  <c r="F33" i="14"/>
  <c r="G33" i="14"/>
  <c r="M33" i="14" s="1"/>
  <c r="F13" i="14"/>
  <c r="G13" i="14"/>
  <c r="M13" i="14" s="1"/>
  <c r="L13" i="14" s="1"/>
  <c r="F37" i="14"/>
  <c r="G37" i="14"/>
  <c r="M37" i="14" s="1"/>
  <c r="F27" i="14"/>
  <c r="G27" i="14"/>
  <c r="M27" i="14" s="1"/>
  <c r="F24" i="14"/>
  <c r="G24" i="14"/>
  <c r="M24" i="14" s="1"/>
  <c r="F25" i="14"/>
  <c r="G25" i="14"/>
  <c r="M25" i="14" s="1"/>
  <c r="F36" i="14"/>
  <c r="G36" i="14"/>
  <c r="M36" i="14" s="1"/>
  <c r="F26" i="14"/>
  <c r="G26" i="14"/>
  <c r="M26" i="14" s="1"/>
  <c r="F21" i="14"/>
  <c r="G21" i="14"/>
  <c r="M21" i="14" s="1"/>
  <c r="L21" i="14" s="1"/>
  <c r="F14" i="14"/>
  <c r="G14" i="14"/>
  <c r="M14" i="14" s="1"/>
  <c r="L14" i="14" s="1"/>
  <c r="F12" i="14"/>
  <c r="G12" i="14"/>
  <c r="M12" i="14" s="1"/>
  <c r="L12" i="14" s="1"/>
  <c r="F31" i="14"/>
  <c r="G31" i="14"/>
  <c r="M31" i="14" s="1"/>
  <c r="F35" i="14"/>
  <c r="G35" i="14"/>
  <c r="M35" i="14" s="1"/>
  <c r="F23" i="14"/>
  <c r="G23" i="14"/>
  <c r="M23" i="14" s="1"/>
  <c r="G38" i="12"/>
  <c r="F20" i="12"/>
  <c r="S21" i="14" l="1"/>
  <c r="Q21" i="14"/>
  <c r="O21" i="14"/>
  <c r="V21" i="14"/>
  <c r="U21" i="14" s="1"/>
  <c r="Q20" i="12"/>
  <c r="Q38" i="12" s="1"/>
  <c r="O20" i="12"/>
  <c r="O38" i="12" s="1"/>
  <c r="S20" i="12"/>
  <c r="S38" i="12" s="1"/>
  <c r="V20" i="12"/>
  <c r="U17" i="27"/>
  <c r="F17" i="28" s="1"/>
  <c r="V18" i="27"/>
  <c r="G17" i="28"/>
  <c r="V13" i="14"/>
  <c r="U13" i="14" s="1"/>
  <c r="O13" i="14"/>
  <c r="Q13" i="14"/>
  <c r="S13" i="14"/>
  <c r="S12" i="14"/>
  <c r="V12" i="14"/>
  <c r="U12" i="14" s="1"/>
  <c r="O12" i="14"/>
  <c r="Q12" i="14"/>
  <c r="O10" i="15"/>
  <c r="Q10" i="15"/>
  <c r="S10" i="15"/>
  <c r="V10" i="15"/>
  <c r="U10" i="15" s="1"/>
  <c r="O14" i="14"/>
  <c r="S14" i="14"/>
  <c r="Q14" i="14"/>
  <c r="V14" i="14"/>
  <c r="U14" i="14" s="1"/>
  <c r="F22" i="15"/>
  <c r="G22" i="15"/>
  <c r="M22" i="15" s="1"/>
  <c r="F34" i="15"/>
  <c r="G34" i="15"/>
  <c r="M34" i="15" s="1"/>
  <c r="F29" i="15"/>
  <c r="G29" i="15"/>
  <c r="M29" i="15" s="1"/>
  <c r="F9" i="15"/>
  <c r="G9" i="15"/>
  <c r="M9" i="15" s="1"/>
  <c r="L9" i="15" s="1"/>
  <c r="F28" i="15"/>
  <c r="G28" i="15"/>
  <c r="M28" i="15" s="1"/>
  <c r="F11" i="15"/>
  <c r="G11" i="15"/>
  <c r="M11" i="15" s="1"/>
  <c r="L11" i="15" s="1"/>
  <c r="U20" i="12" l="1"/>
  <c r="V38" i="12"/>
  <c r="M17" i="28"/>
  <c r="G18" i="28"/>
  <c r="S9" i="15"/>
  <c r="Q9" i="15"/>
  <c r="O9" i="15"/>
  <c r="V9" i="15"/>
  <c r="U9" i="15" s="1"/>
  <c r="S11" i="15"/>
  <c r="Q11" i="15"/>
  <c r="O11" i="15"/>
  <c r="V11" i="15"/>
  <c r="U11" i="15" s="1"/>
  <c r="F10" i="16"/>
  <c r="G10" i="16"/>
  <c r="M10" i="16" s="1"/>
  <c r="L10" i="16" s="1"/>
  <c r="F30" i="15"/>
  <c r="G30" i="15"/>
  <c r="M30" i="15" s="1"/>
  <c r="F21" i="15"/>
  <c r="G21" i="15"/>
  <c r="M21" i="15" s="1"/>
  <c r="L21" i="15" s="1"/>
  <c r="F13" i="15"/>
  <c r="G13" i="15"/>
  <c r="M13" i="15" s="1"/>
  <c r="L13" i="15" s="1"/>
  <c r="F32" i="15"/>
  <c r="G32" i="15"/>
  <c r="M32" i="15" s="1"/>
  <c r="F37" i="15"/>
  <c r="G37" i="15"/>
  <c r="M37" i="15" s="1"/>
  <c r="F12" i="15"/>
  <c r="G12" i="15"/>
  <c r="M12" i="15" s="1"/>
  <c r="L12" i="15" s="1"/>
  <c r="F36" i="15"/>
  <c r="G36" i="15"/>
  <c r="M36" i="15" s="1"/>
  <c r="F35" i="15"/>
  <c r="G35" i="15"/>
  <c r="M35" i="15" s="1"/>
  <c r="F25" i="15"/>
  <c r="G25" i="15"/>
  <c r="M25" i="15" s="1"/>
  <c r="F27" i="15"/>
  <c r="G27" i="15"/>
  <c r="M27" i="15" s="1"/>
  <c r="F23" i="15"/>
  <c r="G23" i="15"/>
  <c r="M23" i="15" s="1"/>
  <c r="F33" i="15"/>
  <c r="G33" i="15"/>
  <c r="M33" i="15" s="1"/>
  <c r="F26" i="15"/>
  <c r="G26" i="15"/>
  <c r="M26" i="15" s="1"/>
  <c r="F31" i="15"/>
  <c r="G31" i="15"/>
  <c r="M31" i="15" s="1"/>
  <c r="F14" i="15"/>
  <c r="G14" i="15"/>
  <c r="M14" i="15" s="1"/>
  <c r="L14" i="15" s="1"/>
  <c r="F24" i="15"/>
  <c r="G24" i="15"/>
  <c r="M24" i="15" s="1"/>
  <c r="G20" i="13"/>
  <c r="M20" i="13" s="1"/>
  <c r="V21" i="15" l="1"/>
  <c r="U21" i="15" s="1"/>
  <c r="S21" i="15"/>
  <c r="Q21" i="15"/>
  <c r="O21" i="15"/>
  <c r="M38" i="13"/>
  <c r="L20" i="13"/>
  <c r="M18" i="28"/>
  <c r="L17" i="28"/>
  <c r="O13" i="15"/>
  <c r="Q13" i="15"/>
  <c r="V13" i="15"/>
  <c r="U13" i="15" s="1"/>
  <c r="S13" i="15"/>
  <c r="V12" i="15"/>
  <c r="U12" i="15" s="1"/>
  <c r="O12" i="15"/>
  <c r="Q12" i="15"/>
  <c r="S12" i="15"/>
  <c r="S10" i="16"/>
  <c r="Q10" i="16"/>
  <c r="O10" i="16"/>
  <c r="V10" i="16"/>
  <c r="U10" i="16" s="1"/>
  <c r="S14" i="15"/>
  <c r="Q14" i="15"/>
  <c r="O14" i="15"/>
  <c r="V14" i="15"/>
  <c r="U14" i="15" s="1"/>
  <c r="F34" i="16"/>
  <c r="G34" i="16"/>
  <c r="M34" i="16" s="1"/>
  <c r="F29" i="16"/>
  <c r="G29" i="16"/>
  <c r="M29" i="16" s="1"/>
  <c r="F9" i="16"/>
  <c r="G9" i="16"/>
  <c r="M9" i="16" s="1"/>
  <c r="L9" i="16" s="1"/>
  <c r="F28" i="16"/>
  <c r="G28" i="16"/>
  <c r="M28" i="16" s="1"/>
  <c r="F11" i="16"/>
  <c r="G11" i="16"/>
  <c r="M11" i="16" s="1"/>
  <c r="L11" i="16" s="1"/>
  <c r="F22" i="16"/>
  <c r="G22" i="16"/>
  <c r="M22" i="16" s="1"/>
  <c r="G38" i="13"/>
  <c r="F20" i="13"/>
  <c r="V20" i="13" l="1"/>
  <c r="Q20" i="13"/>
  <c r="Q38" i="13" s="1"/>
  <c r="S20" i="13"/>
  <c r="S38" i="13" s="1"/>
  <c r="O20" i="13"/>
  <c r="O38" i="13" s="1"/>
  <c r="V17" i="28"/>
  <c r="Q17" i="28"/>
  <c r="Q18" i="28" s="1"/>
  <c r="S17" i="28"/>
  <c r="S18" i="28" s="1"/>
  <c r="O17" i="28"/>
  <c r="O18" i="28" s="1"/>
  <c r="S9" i="16"/>
  <c r="Q9" i="16"/>
  <c r="O9" i="16"/>
  <c r="V9" i="16"/>
  <c r="U9" i="16" s="1"/>
  <c r="O11" i="16"/>
  <c r="Q11" i="16"/>
  <c r="S11" i="16"/>
  <c r="V11" i="16"/>
  <c r="U11" i="16" s="1"/>
  <c r="F10" i="17"/>
  <c r="G10" i="17"/>
  <c r="M10" i="17" s="1"/>
  <c r="L10" i="17" s="1"/>
  <c r="F13" i="16"/>
  <c r="G13" i="16"/>
  <c r="M13" i="16" s="1"/>
  <c r="L13" i="16" s="1"/>
  <c r="F21" i="16"/>
  <c r="G21" i="16"/>
  <c r="M21" i="16" s="1"/>
  <c r="L21" i="16" s="1"/>
  <c r="F33" i="16"/>
  <c r="G33" i="16"/>
  <c r="M33" i="16" s="1"/>
  <c r="F25" i="16"/>
  <c r="G25" i="16"/>
  <c r="M25" i="16" s="1"/>
  <c r="F23" i="16"/>
  <c r="G23" i="16"/>
  <c r="M23" i="16" s="1"/>
  <c r="F32" i="16"/>
  <c r="G32" i="16"/>
  <c r="M32" i="16" s="1"/>
  <c r="F35" i="16"/>
  <c r="G35" i="16"/>
  <c r="M35" i="16" s="1"/>
  <c r="F24" i="16"/>
  <c r="G24" i="16"/>
  <c r="M24" i="16" s="1"/>
  <c r="F12" i="16"/>
  <c r="G12" i="16"/>
  <c r="M12" i="16" s="1"/>
  <c r="L12" i="16" s="1"/>
  <c r="F14" i="16"/>
  <c r="G14" i="16"/>
  <c r="M14" i="16" s="1"/>
  <c r="L14" i="16" s="1"/>
  <c r="F37" i="16"/>
  <c r="G37" i="16"/>
  <c r="M37" i="16" s="1"/>
  <c r="F31" i="16"/>
  <c r="G31" i="16"/>
  <c r="M31" i="16" s="1"/>
  <c r="F26" i="16"/>
  <c r="G26" i="16"/>
  <c r="M26" i="16" s="1"/>
  <c r="F30" i="16"/>
  <c r="G30" i="16"/>
  <c r="M30" i="16" s="1"/>
  <c r="F27" i="16"/>
  <c r="G27" i="16"/>
  <c r="M27" i="16" s="1"/>
  <c r="F36" i="16"/>
  <c r="G36" i="16"/>
  <c r="M36" i="16" s="1"/>
  <c r="Q21" i="16" l="1"/>
  <c r="O21" i="16"/>
  <c r="S21" i="16"/>
  <c r="V21" i="16"/>
  <c r="U21" i="16" s="1"/>
  <c r="U20" i="13"/>
  <c r="V38" i="13"/>
  <c r="U17" i="28"/>
  <c r="F17" i="29" s="1"/>
  <c r="V18" i="28"/>
  <c r="G17" i="29"/>
  <c r="S13" i="16"/>
  <c r="V13" i="16"/>
  <c r="U13" i="16" s="1"/>
  <c r="Q13" i="16"/>
  <c r="O13" i="16"/>
  <c r="Q12" i="16"/>
  <c r="O12" i="16"/>
  <c r="S12" i="16"/>
  <c r="V12" i="16"/>
  <c r="U12" i="16" s="1"/>
  <c r="O14" i="16"/>
  <c r="S14" i="16"/>
  <c r="Q14" i="16"/>
  <c r="V14" i="16"/>
  <c r="U14" i="16" s="1"/>
  <c r="O10" i="17"/>
  <c r="S10" i="17"/>
  <c r="Q10" i="17"/>
  <c r="V10" i="17"/>
  <c r="U10" i="17" s="1"/>
  <c r="F22" i="17"/>
  <c r="G22" i="17"/>
  <c r="M22" i="17" s="1"/>
  <c r="F28" i="17"/>
  <c r="G28" i="17"/>
  <c r="M28" i="17" s="1"/>
  <c r="F29" i="17"/>
  <c r="G29" i="17"/>
  <c r="M29" i="17" s="1"/>
  <c r="F11" i="17"/>
  <c r="G11" i="17"/>
  <c r="M11" i="17" s="1"/>
  <c r="L11" i="17" s="1"/>
  <c r="F9" i="17"/>
  <c r="G9" i="17"/>
  <c r="M9" i="17" s="1"/>
  <c r="L9" i="17" s="1"/>
  <c r="F34" i="17"/>
  <c r="G34" i="17"/>
  <c r="M34" i="17" s="1"/>
  <c r="G20" i="14"/>
  <c r="M20" i="14" s="1"/>
  <c r="M38" i="14" l="1"/>
  <c r="L20" i="14"/>
  <c r="M17" i="29"/>
  <c r="G18" i="29"/>
  <c r="O11" i="17"/>
  <c r="S11" i="17"/>
  <c r="Q11" i="17"/>
  <c r="V11" i="17"/>
  <c r="U11" i="17" s="1"/>
  <c r="O9" i="17"/>
  <c r="S9" i="17"/>
  <c r="Q9" i="17"/>
  <c r="V9" i="17"/>
  <c r="U9" i="17" s="1"/>
  <c r="F10" i="18"/>
  <c r="G10" i="18"/>
  <c r="M10" i="18" s="1"/>
  <c r="L10" i="18" s="1"/>
  <c r="F13" i="17"/>
  <c r="G13" i="17"/>
  <c r="M13" i="17" s="1"/>
  <c r="L13" i="17" s="1"/>
  <c r="F33" i="17"/>
  <c r="G33" i="17"/>
  <c r="M33" i="17" s="1"/>
  <c r="F14" i="17"/>
  <c r="G14" i="17"/>
  <c r="M14" i="17" s="1"/>
  <c r="L14" i="17" s="1"/>
  <c r="F25" i="17"/>
  <c r="G25" i="17"/>
  <c r="M25" i="17" s="1"/>
  <c r="F30" i="17"/>
  <c r="G30" i="17"/>
  <c r="M30" i="17" s="1"/>
  <c r="F12" i="17"/>
  <c r="G12" i="17"/>
  <c r="M12" i="17" s="1"/>
  <c r="L12" i="17" s="1"/>
  <c r="F26" i="17"/>
  <c r="G26" i="17"/>
  <c r="M26" i="17" s="1"/>
  <c r="F32" i="17"/>
  <c r="G32" i="17"/>
  <c r="M32" i="17" s="1"/>
  <c r="F24" i="17"/>
  <c r="G24" i="17"/>
  <c r="M24" i="17" s="1"/>
  <c r="F37" i="17"/>
  <c r="G37" i="17"/>
  <c r="M37" i="17" s="1"/>
  <c r="F23" i="17"/>
  <c r="G23" i="17"/>
  <c r="M23" i="17" s="1"/>
  <c r="F36" i="17"/>
  <c r="G36" i="17"/>
  <c r="M36" i="17" s="1"/>
  <c r="F27" i="17"/>
  <c r="G27" i="17"/>
  <c r="M27" i="17" s="1"/>
  <c r="F31" i="17"/>
  <c r="G31" i="17"/>
  <c r="M31" i="17" s="1"/>
  <c r="F21" i="17"/>
  <c r="G21" i="17"/>
  <c r="M21" i="17" s="1"/>
  <c r="L21" i="17" s="1"/>
  <c r="F35" i="17"/>
  <c r="G35" i="17"/>
  <c r="M35" i="17" s="1"/>
  <c r="G38" i="14"/>
  <c r="F20" i="14"/>
  <c r="S21" i="17" l="1"/>
  <c r="O21" i="17"/>
  <c r="Q21" i="17"/>
  <c r="V21" i="17"/>
  <c r="U21" i="17" s="1"/>
  <c r="S20" i="14"/>
  <c r="S38" i="14" s="1"/>
  <c r="O20" i="14"/>
  <c r="O38" i="14" s="1"/>
  <c r="Q20" i="14"/>
  <c r="Q38" i="14" s="1"/>
  <c r="V20" i="14"/>
  <c r="M18" i="29"/>
  <c r="L17" i="29"/>
  <c r="O13" i="17"/>
  <c r="S13" i="17"/>
  <c r="V13" i="17"/>
  <c r="U13" i="17" s="1"/>
  <c r="Q13" i="17"/>
  <c r="V12" i="17"/>
  <c r="U12" i="17" s="1"/>
  <c r="O12" i="17"/>
  <c r="S12" i="17"/>
  <c r="Q12" i="17"/>
  <c r="O10" i="18"/>
  <c r="Q10" i="18"/>
  <c r="S10" i="18"/>
  <c r="V10" i="18"/>
  <c r="U10" i="18" s="1"/>
  <c r="V14" i="17"/>
  <c r="U14" i="17" s="1"/>
  <c r="S14" i="17"/>
  <c r="Q14" i="17"/>
  <c r="O14" i="17"/>
  <c r="F9" i="18"/>
  <c r="G9" i="18"/>
  <c r="M9" i="18" s="1"/>
  <c r="L9" i="18" s="1"/>
  <c r="F11" i="18"/>
  <c r="G11" i="18"/>
  <c r="M11" i="18" s="1"/>
  <c r="L11" i="18" s="1"/>
  <c r="F29" i="18"/>
  <c r="G29" i="18"/>
  <c r="M29" i="18" s="1"/>
  <c r="F22" i="18"/>
  <c r="G22" i="18"/>
  <c r="M22" i="18" s="1"/>
  <c r="F34" i="18"/>
  <c r="G34" i="18"/>
  <c r="M34" i="18" s="1"/>
  <c r="F28" i="18"/>
  <c r="G28" i="18"/>
  <c r="M28" i="18" s="1"/>
  <c r="V38" i="14" l="1"/>
  <c r="U20" i="14"/>
  <c r="V17" i="29"/>
  <c r="S17" i="29"/>
  <c r="S18" i="29" s="1"/>
  <c r="O17" i="29"/>
  <c r="O18" i="29" s="1"/>
  <c r="Q17" i="29"/>
  <c r="Q18" i="29" s="1"/>
  <c r="Q9" i="18"/>
  <c r="O9" i="18"/>
  <c r="S9" i="18"/>
  <c r="V9" i="18"/>
  <c r="U9" i="18" s="1"/>
  <c r="S11" i="18"/>
  <c r="Q11" i="18"/>
  <c r="O11" i="18"/>
  <c r="V11" i="18"/>
  <c r="U11" i="18" s="1"/>
  <c r="F10" i="19"/>
  <c r="G10" i="19"/>
  <c r="M10" i="19" s="1"/>
  <c r="L10" i="19" s="1"/>
  <c r="F13" i="18"/>
  <c r="G13" i="18"/>
  <c r="M13" i="18" s="1"/>
  <c r="L13" i="18" s="1"/>
  <c r="F24" i="18"/>
  <c r="G24" i="18"/>
  <c r="M24" i="18" s="1"/>
  <c r="F21" i="18"/>
  <c r="G21" i="18"/>
  <c r="M21" i="18" s="1"/>
  <c r="L21" i="18" s="1"/>
  <c r="F23" i="18"/>
  <c r="G23" i="18"/>
  <c r="M23" i="18" s="1"/>
  <c r="F31" i="18"/>
  <c r="G31" i="18"/>
  <c r="M31" i="18" s="1"/>
  <c r="F37" i="18"/>
  <c r="G37" i="18"/>
  <c r="M37" i="18" s="1"/>
  <c r="F27" i="18"/>
  <c r="G27" i="18"/>
  <c r="M27" i="18" s="1"/>
  <c r="F14" i="18"/>
  <c r="G14" i="18"/>
  <c r="M14" i="18" s="1"/>
  <c r="L14" i="18" s="1"/>
  <c r="F30" i="18"/>
  <c r="G30" i="18"/>
  <c r="M30" i="18" s="1"/>
  <c r="F33" i="18"/>
  <c r="G33" i="18"/>
  <c r="M33" i="18" s="1"/>
  <c r="F26" i="18"/>
  <c r="G26" i="18"/>
  <c r="M26" i="18" s="1"/>
  <c r="F35" i="18"/>
  <c r="G35" i="18"/>
  <c r="M35" i="18" s="1"/>
  <c r="F36" i="18"/>
  <c r="G36" i="18"/>
  <c r="M36" i="18" s="1"/>
  <c r="F12" i="18"/>
  <c r="G12" i="18"/>
  <c r="M12" i="18" s="1"/>
  <c r="L12" i="18" s="1"/>
  <c r="F32" i="18"/>
  <c r="G32" i="18"/>
  <c r="M32" i="18" s="1"/>
  <c r="F25" i="18"/>
  <c r="G25" i="18"/>
  <c r="M25" i="18" s="1"/>
  <c r="G20" i="15"/>
  <c r="M20" i="15" s="1"/>
  <c r="Q21" i="18" l="1"/>
  <c r="S21" i="18"/>
  <c r="O21" i="18"/>
  <c r="V21" i="18"/>
  <c r="U21" i="18" s="1"/>
  <c r="M38" i="15"/>
  <c r="L20" i="15"/>
  <c r="U17" i="29"/>
  <c r="F17" i="30" s="1"/>
  <c r="V18" i="29"/>
  <c r="G17" i="30"/>
  <c r="O13" i="18"/>
  <c r="S13" i="18"/>
  <c r="Q13" i="18"/>
  <c r="V13" i="18"/>
  <c r="U13" i="18" s="1"/>
  <c r="S12" i="18"/>
  <c r="Q12" i="18"/>
  <c r="O12" i="18"/>
  <c r="V12" i="18"/>
  <c r="U12" i="18" s="1"/>
  <c r="O10" i="19"/>
  <c r="S10" i="19"/>
  <c r="Q10" i="19"/>
  <c r="V10" i="19"/>
  <c r="U10" i="19" s="1"/>
  <c r="S14" i="18"/>
  <c r="Q14" i="18"/>
  <c r="O14" i="18"/>
  <c r="V14" i="18"/>
  <c r="U14" i="18" s="1"/>
  <c r="F28" i="19"/>
  <c r="G28" i="19"/>
  <c r="M28" i="19" s="1"/>
  <c r="F22" i="19"/>
  <c r="G22" i="19"/>
  <c r="M22" i="19" s="1"/>
  <c r="F9" i="19"/>
  <c r="G9" i="19"/>
  <c r="M9" i="19" s="1"/>
  <c r="L9" i="19" s="1"/>
  <c r="F34" i="19"/>
  <c r="G34" i="19"/>
  <c r="M34" i="19" s="1"/>
  <c r="F11" i="19"/>
  <c r="G11" i="19"/>
  <c r="M11" i="19" s="1"/>
  <c r="L11" i="19" s="1"/>
  <c r="F29" i="19"/>
  <c r="G29" i="19"/>
  <c r="M29" i="19" s="1"/>
  <c r="G38" i="15"/>
  <c r="F20" i="15"/>
  <c r="Q20" i="15" l="1"/>
  <c r="Q38" i="15" s="1"/>
  <c r="O20" i="15"/>
  <c r="O38" i="15" s="1"/>
  <c r="S20" i="15"/>
  <c r="S38" i="15" s="1"/>
  <c r="V20" i="15"/>
  <c r="M17" i="30"/>
  <c r="G18" i="30"/>
  <c r="O9" i="19"/>
  <c r="S9" i="19"/>
  <c r="Q9" i="19"/>
  <c r="V9" i="19"/>
  <c r="U9" i="19" s="1"/>
  <c r="Q11" i="19"/>
  <c r="O11" i="19"/>
  <c r="S11" i="19"/>
  <c r="V11" i="19"/>
  <c r="U11" i="19" s="1"/>
  <c r="F10" i="20"/>
  <c r="G10" i="20"/>
  <c r="M10" i="20" s="1"/>
  <c r="L10" i="20" s="1"/>
  <c r="F27" i="19"/>
  <c r="G27" i="19"/>
  <c r="M27" i="19" s="1"/>
  <c r="F24" i="19"/>
  <c r="G24" i="19"/>
  <c r="M24" i="19" s="1"/>
  <c r="F25" i="19"/>
  <c r="G25" i="19"/>
  <c r="M25" i="19" s="1"/>
  <c r="F37" i="19"/>
  <c r="G37" i="19"/>
  <c r="M37" i="19" s="1"/>
  <c r="F23" i="19"/>
  <c r="G23" i="19"/>
  <c r="M23" i="19" s="1"/>
  <c r="F33" i="19"/>
  <c r="G33" i="19"/>
  <c r="M33" i="19" s="1"/>
  <c r="F21" i="19"/>
  <c r="G21" i="19"/>
  <c r="M21" i="19" s="1"/>
  <c r="L21" i="19" s="1"/>
  <c r="F36" i="19"/>
  <c r="G36" i="19"/>
  <c r="M36" i="19" s="1"/>
  <c r="F30" i="19"/>
  <c r="G30" i="19"/>
  <c r="M30" i="19" s="1"/>
  <c r="F13" i="19"/>
  <c r="G13" i="19"/>
  <c r="M13" i="19" s="1"/>
  <c r="L13" i="19" s="1"/>
  <c r="F26" i="19"/>
  <c r="G26" i="19"/>
  <c r="M26" i="19" s="1"/>
  <c r="F35" i="19"/>
  <c r="G35" i="19"/>
  <c r="M35" i="19" s="1"/>
  <c r="F14" i="19"/>
  <c r="G14" i="19"/>
  <c r="M14" i="19" s="1"/>
  <c r="L14" i="19" s="1"/>
  <c r="F12" i="19"/>
  <c r="G12" i="19"/>
  <c r="M12" i="19" s="1"/>
  <c r="L12" i="19" s="1"/>
  <c r="F32" i="19"/>
  <c r="G32" i="19"/>
  <c r="M32" i="19" s="1"/>
  <c r="F31" i="19"/>
  <c r="G31" i="19"/>
  <c r="M31" i="19" s="1"/>
  <c r="S21" i="19" l="1"/>
  <c r="O21" i="19"/>
  <c r="Q21" i="19"/>
  <c r="V21" i="19"/>
  <c r="U21" i="19" s="1"/>
  <c r="U20" i="15"/>
  <c r="V38" i="15"/>
  <c r="M18" i="30"/>
  <c r="L17" i="30"/>
  <c r="V13" i="19"/>
  <c r="U13" i="19" s="1"/>
  <c r="O13" i="19"/>
  <c r="S13" i="19"/>
  <c r="Q13" i="19"/>
  <c r="Q12" i="19"/>
  <c r="O12" i="19"/>
  <c r="S12" i="19"/>
  <c r="V12" i="19"/>
  <c r="U12" i="19" s="1"/>
  <c r="O10" i="20"/>
  <c r="Q10" i="20"/>
  <c r="S10" i="20"/>
  <c r="V10" i="20"/>
  <c r="U10" i="20" s="1"/>
  <c r="S14" i="19"/>
  <c r="Q14" i="19"/>
  <c r="O14" i="19"/>
  <c r="V14" i="19"/>
  <c r="U14" i="19" s="1"/>
  <c r="F34" i="20"/>
  <c r="G34" i="20"/>
  <c r="M34" i="20" s="1"/>
  <c r="F29" i="20"/>
  <c r="G29" i="20"/>
  <c r="M29" i="20" s="1"/>
  <c r="F28" i="20"/>
  <c r="G28" i="20"/>
  <c r="M28" i="20" s="1"/>
  <c r="F9" i="20"/>
  <c r="G9" i="20"/>
  <c r="M9" i="20" s="1"/>
  <c r="L9" i="20" s="1"/>
  <c r="F22" i="20"/>
  <c r="G22" i="20"/>
  <c r="M22" i="20" s="1"/>
  <c r="F11" i="20"/>
  <c r="G11" i="20"/>
  <c r="M11" i="20" s="1"/>
  <c r="L11" i="20" s="1"/>
  <c r="G20" i="16"/>
  <c r="M20" i="16" s="1"/>
  <c r="M38" i="16" l="1"/>
  <c r="L20" i="16"/>
  <c r="V17" i="30"/>
  <c r="S17" i="30"/>
  <c r="S18" i="30" s="1"/>
  <c r="O17" i="30"/>
  <c r="O18" i="30" s="1"/>
  <c r="Q17" i="30"/>
  <c r="Q18" i="30" s="1"/>
  <c r="V11" i="20"/>
  <c r="U11" i="20" s="1"/>
  <c r="S11" i="20"/>
  <c r="Q11" i="20"/>
  <c r="O11" i="20"/>
  <c r="S9" i="20"/>
  <c r="Q9" i="20"/>
  <c r="O9" i="20"/>
  <c r="V9" i="20"/>
  <c r="U9" i="20" s="1"/>
  <c r="F10" i="21"/>
  <c r="G10" i="21"/>
  <c r="M10" i="21" s="1"/>
  <c r="L10" i="21" s="1"/>
  <c r="F35" i="20"/>
  <c r="G35" i="20"/>
  <c r="M35" i="20" s="1"/>
  <c r="F33" i="20"/>
  <c r="G33" i="20"/>
  <c r="M33" i="20" s="1"/>
  <c r="F12" i="20"/>
  <c r="G12" i="20"/>
  <c r="M12" i="20" s="1"/>
  <c r="L12" i="20" s="1"/>
  <c r="F25" i="20"/>
  <c r="G25" i="20"/>
  <c r="M25" i="20" s="1"/>
  <c r="F31" i="20"/>
  <c r="G31" i="20"/>
  <c r="M31" i="20" s="1"/>
  <c r="F37" i="20"/>
  <c r="G37" i="20"/>
  <c r="M37" i="20" s="1"/>
  <c r="F21" i="20"/>
  <c r="G21" i="20"/>
  <c r="M21" i="20" s="1"/>
  <c r="L21" i="20" s="1"/>
  <c r="F36" i="20"/>
  <c r="G36" i="20"/>
  <c r="M36" i="20" s="1"/>
  <c r="F24" i="20"/>
  <c r="G24" i="20"/>
  <c r="M24" i="20" s="1"/>
  <c r="F13" i="20"/>
  <c r="G13" i="20"/>
  <c r="M13" i="20" s="1"/>
  <c r="L13" i="20" s="1"/>
  <c r="F14" i="20"/>
  <c r="G14" i="20"/>
  <c r="M14" i="20" s="1"/>
  <c r="L14" i="20" s="1"/>
  <c r="F26" i="20"/>
  <c r="G26" i="20"/>
  <c r="M26" i="20" s="1"/>
  <c r="F32" i="20"/>
  <c r="G32" i="20"/>
  <c r="M32" i="20" s="1"/>
  <c r="F30" i="20"/>
  <c r="G30" i="20"/>
  <c r="M30" i="20" s="1"/>
  <c r="F23" i="20"/>
  <c r="G23" i="20"/>
  <c r="M23" i="20" s="1"/>
  <c r="F27" i="20"/>
  <c r="G27" i="20"/>
  <c r="M27" i="20" s="1"/>
  <c r="G38" i="16"/>
  <c r="F20" i="16"/>
  <c r="S21" i="20" l="1"/>
  <c r="Q21" i="20"/>
  <c r="O21" i="20"/>
  <c r="V21" i="20"/>
  <c r="U21" i="20" s="1"/>
  <c r="Q20" i="16"/>
  <c r="Q38" i="16" s="1"/>
  <c r="S20" i="16"/>
  <c r="S38" i="16" s="1"/>
  <c r="O20" i="16"/>
  <c r="O38" i="16" s="1"/>
  <c r="V20" i="16"/>
  <c r="U17" i="30"/>
  <c r="F17" i="31" s="1"/>
  <c r="V18" i="30"/>
  <c r="G17" i="31"/>
  <c r="O13" i="20"/>
  <c r="S13" i="20"/>
  <c r="Q13" i="20"/>
  <c r="V13" i="20"/>
  <c r="U13" i="20" s="1"/>
  <c r="V12" i="20"/>
  <c r="U12" i="20" s="1"/>
  <c r="O12" i="20"/>
  <c r="S12" i="20"/>
  <c r="Q12" i="20"/>
  <c r="S10" i="21"/>
  <c r="Q10" i="21"/>
  <c r="O10" i="21"/>
  <c r="V10" i="21"/>
  <c r="U10" i="21" s="1"/>
  <c r="Q14" i="20"/>
  <c r="O14" i="20"/>
  <c r="S14" i="20"/>
  <c r="V14" i="20"/>
  <c r="U14" i="20" s="1"/>
  <c r="F11" i="21"/>
  <c r="G11" i="21"/>
  <c r="M11" i="21" s="1"/>
  <c r="L11" i="21" s="1"/>
  <c r="F29" i="21"/>
  <c r="G29" i="21"/>
  <c r="M29" i="21" s="1"/>
  <c r="F28" i="21"/>
  <c r="G28" i="21"/>
  <c r="M28" i="21" s="1"/>
  <c r="F22" i="21"/>
  <c r="G22" i="21"/>
  <c r="M22" i="21" s="1"/>
  <c r="F9" i="21"/>
  <c r="G9" i="21"/>
  <c r="M9" i="21" s="1"/>
  <c r="L9" i="21" s="1"/>
  <c r="F34" i="21"/>
  <c r="G34" i="21"/>
  <c r="M34" i="21" s="1"/>
  <c r="V38" i="16" l="1"/>
  <c r="U20" i="16"/>
  <c r="M17" i="31"/>
  <c r="G18" i="31"/>
  <c r="S9" i="21"/>
  <c r="Q9" i="21"/>
  <c r="O9" i="21"/>
  <c r="V9" i="21"/>
  <c r="U9" i="21" s="1"/>
  <c r="Q11" i="21"/>
  <c r="O11" i="21"/>
  <c r="S11" i="21"/>
  <c r="V11" i="21"/>
  <c r="U11" i="21" s="1"/>
  <c r="F10" i="22"/>
  <c r="G10" i="22"/>
  <c r="M10" i="22" s="1"/>
  <c r="L10" i="22" s="1"/>
  <c r="F14" i="21"/>
  <c r="G14" i="21"/>
  <c r="M14" i="21" s="1"/>
  <c r="L14" i="21" s="1"/>
  <c r="F37" i="21"/>
  <c r="G37" i="21"/>
  <c r="M37" i="21" s="1"/>
  <c r="F24" i="21"/>
  <c r="G24" i="21"/>
  <c r="M24" i="21" s="1"/>
  <c r="F13" i="21"/>
  <c r="G13" i="21"/>
  <c r="M13" i="21" s="1"/>
  <c r="L13" i="21" s="1"/>
  <c r="F25" i="21"/>
  <c r="G25" i="21"/>
  <c r="M25" i="21" s="1"/>
  <c r="F23" i="21"/>
  <c r="G23" i="21"/>
  <c r="M23" i="21" s="1"/>
  <c r="F31" i="21"/>
  <c r="G31" i="21"/>
  <c r="M31" i="21" s="1"/>
  <c r="F26" i="21"/>
  <c r="G26" i="21"/>
  <c r="M26" i="21" s="1"/>
  <c r="F35" i="21"/>
  <c r="G35" i="21"/>
  <c r="M35" i="21" s="1"/>
  <c r="F33" i="21"/>
  <c r="G33" i="21"/>
  <c r="M33" i="21" s="1"/>
  <c r="F27" i="21"/>
  <c r="G27" i="21"/>
  <c r="M27" i="21" s="1"/>
  <c r="F32" i="21"/>
  <c r="G32" i="21"/>
  <c r="M32" i="21" s="1"/>
  <c r="F12" i="21"/>
  <c r="G12" i="21"/>
  <c r="M12" i="21" s="1"/>
  <c r="L12" i="21" s="1"/>
  <c r="F30" i="21"/>
  <c r="G30" i="21"/>
  <c r="M30" i="21" s="1"/>
  <c r="F36" i="21"/>
  <c r="G36" i="21"/>
  <c r="M36" i="21" s="1"/>
  <c r="F21" i="21"/>
  <c r="G21" i="21"/>
  <c r="M21" i="21" s="1"/>
  <c r="L21" i="21" s="1"/>
  <c r="G20" i="17"/>
  <c r="M20" i="17" s="1"/>
  <c r="V21" i="21" l="1"/>
  <c r="U21" i="21" s="1"/>
  <c r="S21" i="21"/>
  <c r="Q21" i="21"/>
  <c r="O21" i="21"/>
  <c r="M38" i="17"/>
  <c r="L20" i="17"/>
  <c r="M18" i="31"/>
  <c r="L17" i="31"/>
  <c r="V13" i="21"/>
  <c r="U13" i="21" s="1"/>
  <c r="S13" i="21"/>
  <c r="Q13" i="21"/>
  <c r="O13" i="21"/>
  <c r="Q12" i="21"/>
  <c r="V12" i="21"/>
  <c r="U12" i="21" s="1"/>
  <c r="O12" i="21"/>
  <c r="S12" i="21"/>
  <c r="S10" i="22"/>
  <c r="O10" i="22"/>
  <c r="Q10" i="22"/>
  <c r="V10" i="22"/>
  <c r="U10" i="22" s="1"/>
  <c r="S14" i="21"/>
  <c r="Q14" i="21"/>
  <c r="O14" i="21"/>
  <c r="V14" i="21"/>
  <c r="U14" i="21" s="1"/>
  <c r="F29" i="22"/>
  <c r="G29" i="22"/>
  <c r="M29" i="22" s="1"/>
  <c r="F22" i="22"/>
  <c r="G22" i="22"/>
  <c r="M22" i="22" s="1"/>
  <c r="F28" i="22"/>
  <c r="G28" i="22"/>
  <c r="M28" i="22" s="1"/>
  <c r="F9" i="22"/>
  <c r="G9" i="22"/>
  <c r="M9" i="22" s="1"/>
  <c r="L9" i="22" s="1"/>
  <c r="F34" i="22"/>
  <c r="G34" i="22"/>
  <c r="M34" i="22" s="1"/>
  <c r="F11" i="22"/>
  <c r="G11" i="22"/>
  <c r="M11" i="22" s="1"/>
  <c r="L11" i="22" s="1"/>
  <c r="G38" i="17"/>
  <c r="F20" i="17"/>
  <c r="O20" i="17" l="1"/>
  <c r="O38" i="17" s="1"/>
  <c r="Q20" i="17"/>
  <c r="Q38" i="17" s="1"/>
  <c r="V20" i="17"/>
  <c r="S20" i="17"/>
  <c r="S38" i="17" s="1"/>
  <c r="V17" i="31"/>
  <c r="Q17" i="31"/>
  <c r="Q18" i="31" s="1"/>
  <c r="Q17" i="32" s="1"/>
  <c r="Q18" i="32" s="1"/>
  <c r="O17" i="31"/>
  <c r="O18" i="31" s="1"/>
  <c r="O17" i="32" s="1"/>
  <c r="S17" i="31"/>
  <c r="S18" i="31" s="1"/>
  <c r="S17" i="32" s="1"/>
  <c r="S18" i="32" s="1"/>
  <c r="O9" i="22"/>
  <c r="S9" i="22"/>
  <c r="Q9" i="22"/>
  <c r="V9" i="22"/>
  <c r="U9" i="22" s="1"/>
  <c r="S11" i="22"/>
  <c r="Q11" i="22"/>
  <c r="O11" i="22"/>
  <c r="V11" i="22"/>
  <c r="U11" i="22" s="1"/>
  <c r="F10" i="23"/>
  <c r="G10" i="23"/>
  <c r="M10" i="23" s="1"/>
  <c r="L10" i="23" s="1"/>
  <c r="F21" i="22"/>
  <c r="G21" i="22"/>
  <c r="M21" i="22" s="1"/>
  <c r="L21" i="22" s="1"/>
  <c r="F37" i="22"/>
  <c r="G37" i="22"/>
  <c r="M37" i="22" s="1"/>
  <c r="F36" i="22"/>
  <c r="G36" i="22"/>
  <c r="M36" i="22" s="1"/>
  <c r="F24" i="22"/>
  <c r="G24" i="22"/>
  <c r="M24" i="22" s="1"/>
  <c r="F32" i="22"/>
  <c r="G32" i="22"/>
  <c r="M32" i="22" s="1"/>
  <c r="F26" i="22"/>
  <c r="G26" i="22"/>
  <c r="M26" i="22" s="1"/>
  <c r="F27" i="22"/>
  <c r="G27" i="22"/>
  <c r="M27" i="22" s="1"/>
  <c r="F31" i="22"/>
  <c r="G31" i="22"/>
  <c r="M31" i="22" s="1"/>
  <c r="F25" i="22"/>
  <c r="G25" i="22"/>
  <c r="M25" i="22" s="1"/>
  <c r="F12" i="22"/>
  <c r="G12" i="22"/>
  <c r="M12" i="22" s="1"/>
  <c r="L12" i="22" s="1"/>
  <c r="F13" i="22"/>
  <c r="G13" i="22"/>
  <c r="M13" i="22" s="1"/>
  <c r="L13" i="22" s="1"/>
  <c r="F14" i="22"/>
  <c r="G14" i="22"/>
  <c r="M14" i="22" s="1"/>
  <c r="L14" i="22" s="1"/>
  <c r="F33" i="22"/>
  <c r="G33" i="22"/>
  <c r="M33" i="22" s="1"/>
  <c r="F35" i="22"/>
  <c r="G35" i="22"/>
  <c r="M35" i="22" s="1"/>
  <c r="F23" i="22"/>
  <c r="G23" i="22"/>
  <c r="M23" i="22" s="1"/>
  <c r="F30" i="22"/>
  <c r="G30" i="22"/>
  <c r="M30" i="22" s="1"/>
  <c r="V17" i="32" l="1"/>
  <c r="S21" i="22"/>
  <c r="O21" i="22"/>
  <c r="Q21" i="22"/>
  <c r="V21" i="22"/>
  <c r="U21" i="22" s="1"/>
  <c r="U20" i="17"/>
  <c r="V38" i="17"/>
  <c r="O18" i="32"/>
  <c r="U17" i="31"/>
  <c r="V18" i="31"/>
  <c r="O13" i="22"/>
  <c r="Q13" i="22"/>
  <c r="V13" i="22"/>
  <c r="U13" i="22" s="1"/>
  <c r="S13" i="22"/>
  <c r="O12" i="22"/>
  <c r="Q12" i="22"/>
  <c r="S12" i="22"/>
  <c r="V12" i="22"/>
  <c r="U12" i="22" s="1"/>
  <c r="S10" i="23"/>
  <c r="Q10" i="23"/>
  <c r="O10" i="23"/>
  <c r="V10" i="23"/>
  <c r="U10" i="23" s="1"/>
  <c r="S14" i="22"/>
  <c r="Q14" i="22"/>
  <c r="O14" i="22"/>
  <c r="V14" i="22"/>
  <c r="U14" i="22" s="1"/>
  <c r="F11" i="23"/>
  <c r="G11" i="23"/>
  <c r="M11" i="23" s="1"/>
  <c r="L11" i="23" s="1"/>
  <c r="F9" i="23"/>
  <c r="G9" i="23"/>
  <c r="M9" i="23" s="1"/>
  <c r="L9" i="23" s="1"/>
  <c r="F34" i="23"/>
  <c r="G34" i="23"/>
  <c r="M34" i="23" s="1"/>
  <c r="F29" i="23"/>
  <c r="G29" i="23"/>
  <c r="M29" i="23" s="1"/>
  <c r="F22" i="23"/>
  <c r="G22" i="23"/>
  <c r="M22" i="23" s="1"/>
  <c r="F28" i="23"/>
  <c r="G28" i="23"/>
  <c r="M28" i="23" s="1"/>
  <c r="G20" i="18"/>
  <c r="M20" i="18" s="1"/>
  <c r="M38" i="18" l="1"/>
  <c r="L20" i="18"/>
  <c r="S11" i="23"/>
  <c r="Q11" i="23"/>
  <c r="O11" i="23"/>
  <c r="V11" i="23"/>
  <c r="U11" i="23" s="1"/>
  <c r="S9" i="23"/>
  <c r="O9" i="23"/>
  <c r="Q9" i="23"/>
  <c r="V9" i="23"/>
  <c r="U9" i="23" s="1"/>
  <c r="F10" i="24"/>
  <c r="G10" i="24"/>
  <c r="F25" i="23"/>
  <c r="G25" i="23"/>
  <c r="M25" i="23" s="1"/>
  <c r="F14" i="23"/>
  <c r="G14" i="23"/>
  <c r="M14" i="23" s="1"/>
  <c r="L14" i="23" s="1"/>
  <c r="F30" i="23"/>
  <c r="G30" i="23"/>
  <c r="M30" i="23" s="1"/>
  <c r="F31" i="23"/>
  <c r="G31" i="23"/>
  <c r="M31" i="23" s="1"/>
  <c r="F24" i="23"/>
  <c r="G24" i="23"/>
  <c r="M24" i="23" s="1"/>
  <c r="F27" i="23"/>
  <c r="G27" i="23"/>
  <c r="M27" i="23" s="1"/>
  <c r="F26" i="23"/>
  <c r="G26" i="23"/>
  <c r="M26" i="23" s="1"/>
  <c r="F33" i="23"/>
  <c r="G33" i="23"/>
  <c r="M33" i="23" s="1"/>
  <c r="F32" i="23"/>
  <c r="G32" i="23"/>
  <c r="M32" i="23" s="1"/>
  <c r="F21" i="23"/>
  <c r="G21" i="23"/>
  <c r="M21" i="23" s="1"/>
  <c r="L21" i="23" s="1"/>
  <c r="F23" i="23"/>
  <c r="G23" i="23"/>
  <c r="M23" i="23" s="1"/>
  <c r="F13" i="23"/>
  <c r="G13" i="23"/>
  <c r="M13" i="23" s="1"/>
  <c r="L13" i="23" s="1"/>
  <c r="F12" i="23"/>
  <c r="G12" i="23"/>
  <c r="M12" i="23" s="1"/>
  <c r="L12" i="23" s="1"/>
  <c r="F36" i="23"/>
  <c r="G36" i="23"/>
  <c r="M36" i="23" s="1"/>
  <c r="F37" i="23"/>
  <c r="G37" i="23"/>
  <c r="M37" i="23" s="1"/>
  <c r="F35" i="23"/>
  <c r="G35" i="23"/>
  <c r="M35" i="23" s="1"/>
  <c r="G38" i="18"/>
  <c r="F20" i="18"/>
  <c r="S21" i="23" l="1"/>
  <c r="Q21" i="23"/>
  <c r="O21" i="23"/>
  <c r="V21" i="23"/>
  <c r="U21" i="23" s="1"/>
  <c r="S20" i="18"/>
  <c r="S38" i="18" s="1"/>
  <c r="Q20" i="18"/>
  <c r="Q38" i="18" s="1"/>
  <c r="O20" i="18"/>
  <c r="O38" i="18" s="1"/>
  <c r="V20" i="18"/>
  <c r="M10" i="24"/>
  <c r="L10" i="24" s="1"/>
  <c r="Q13" i="23"/>
  <c r="O13" i="23"/>
  <c r="S13" i="23"/>
  <c r="V13" i="23"/>
  <c r="U13" i="23" s="1"/>
  <c r="S12" i="23"/>
  <c r="V12" i="23"/>
  <c r="U12" i="23" s="1"/>
  <c r="Q12" i="23"/>
  <c r="O12" i="23"/>
  <c r="Q10" i="24"/>
  <c r="O10" i="24"/>
  <c r="S10" i="24"/>
  <c r="V10" i="24"/>
  <c r="U10" i="24" s="1"/>
  <c r="S14" i="23"/>
  <c r="Q14" i="23"/>
  <c r="O14" i="23"/>
  <c r="V14" i="23"/>
  <c r="U14" i="23" s="1"/>
  <c r="F9" i="24"/>
  <c r="G9" i="24"/>
  <c r="F28" i="24"/>
  <c r="G28" i="24"/>
  <c r="F34" i="24"/>
  <c r="G34" i="24"/>
  <c r="F22" i="24"/>
  <c r="G22" i="24"/>
  <c r="F29" i="24"/>
  <c r="G29" i="24"/>
  <c r="F11" i="24"/>
  <c r="G11" i="24"/>
  <c r="U20" i="18" l="1"/>
  <c r="V38" i="18"/>
  <c r="M34" i="24"/>
  <c r="N34" i="32" s="1"/>
  <c r="H34" i="32"/>
  <c r="K34" i="32" s="1"/>
  <c r="M11" i="24"/>
  <c r="L11" i="24" s="1"/>
  <c r="Q11" i="24" s="1"/>
  <c r="L10" i="32"/>
  <c r="I10" i="32"/>
  <c r="M29" i="24"/>
  <c r="N29" i="32" s="1"/>
  <c r="H29" i="32"/>
  <c r="K29" i="32" s="1"/>
  <c r="M28" i="24"/>
  <c r="N28" i="32" s="1"/>
  <c r="H28" i="32"/>
  <c r="K28" i="32" s="1"/>
  <c r="M22" i="24"/>
  <c r="M9" i="24"/>
  <c r="L9" i="24" s="1"/>
  <c r="S9" i="24" s="1"/>
  <c r="S11" i="24"/>
  <c r="V11" i="24"/>
  <c r="U11" i="24" s="1"/>
  <c r="F10" i="25"/>
  <c r="G10" i="25"/>
  <c r="M10" i="25" s="1"/>
  <c r="L10" i="25" s="1"/>
  <c r="F25" i="24"/>
  <c r="G25" i="24"/>
  <c r="F32" i="24"/>
  <c r="G32" i="24"/>
  <c r="F27" i="24"/>
  <c r="G27" i="24"/>
  <c r="F26" i="24"/>
  <c r="G26" i="24"/>
  <c r="F12" i="24"/>
  <c r="G12" i="24"/>
  <c r="F21" i="24"/>
  <c r="G21" i="24"/>
  <c r="F24" i="24"/>
  <c r="G24" i="24"/>
  <c r="F30" i="24"/>
  <c r="G30" i="24"/>
  <c r="F35" i="24"/>
  <c r="G35" i="24"/>
  <c r="F37" i="24"/>
  <c r="G37" i="24"/>
  <c r="F23" i="24"/>
  <c r="G23" i="24"/>
  <c r="F36" i="24"/>
  <c r="G36" i="24"/>
  <c r="F14" i="24"/>
  <c r="G14" i="24"/>
  <c r="F33" i="24"/>
  <c r="G33" i="24"/>
  <c r="F13" i="24"/>
  <c r="G13" i="24"/>
  <c r="F31" i="24"/>
  <c r="G31" i="24"/>
  <c r="G20" i="19"/>
  <c r="M20" i="19" s="1"/>
  <c r="M38" i="19" l="1"/>
  <c r="L20" i="19"/>
  <c r="O11" i="24"/>
  <c r="Q9" i="24"/>
  <c r="V9" i="24"/>
  <c r="U9" i="24" s="1"/>
  <c r="O9" i="24"/>
  <c r="M36" i="24"/>
  <c r="N36" i="32" s="1"/>
  <c r="H36" i="32"/>
  <c r="K36" i="32" s="1"/>
  <c r="L36" i="32" s="1"/>
  <c r="I22" i="32"/>
  <c r="T22" i="32"/>
  <c r="M33" i="24"/>
  <c r="N33" i="32" s="1"/>
  <c r="H33" i="32"/>
  <c r="K33" i="32" s="1"/>
  <c r="L28" i="32"/>
  <c r="T28" i="32"/>
  <c r="U28" i="32" s="1"/>
  <c r="I11" i="32"/>
  <c r="L11" i="32"/>
  <c r="M21" i="24"/>
  <c r="M23" i="24"/>
  <c r="M12" i="24"/>
  <c r="L12" i="24" s="1"/>
  <c r="O12" i="24" s="1"/>
  <c r="M13" i="24"/>
  <c r="L13" i="24" s="1"/>
  <c r="O13" i="24" s="1"/>
  <c r="M35" i="24"/>
  <c r="N35" i="32" s="1"/>
  <c r="H35" i="32"/>
  <c r="K35" i="32" s="1"/>
  <c r="M14" i="24"/>
  <c r="L14" i="24" s="1"/>
  <c r="V14" i="24" s="1"/>
  <c r="U14" i="24" s="1"/>
  <c r="L9" i="32"/>
  <c r="I9" i="32"/>
  <c r="L29" i="32"/>
  <c r="T29" i="32"/>
  <c r="U29" i="32" s="1"/>
  <c r="L34" i="32"/>
  <c r="T34" i="32"/>
  <c r="U34" i="32" s="1"/>
  <c r="M27" i="24"/>
  <c r="N27" i="32" s="1"/>
  <c r="H27" i="32"/>
  <c r="K27" i="32" s="1"/>
  <c r="M30" i="24"/>
  <c r="N30" i="32" s="1"/>
  <c r="H30" i="32"/>
  <c r="K30" i="32" s="1"/>
  <c r="M32" i="24"/>
  <c r="N32" i="32" s="1"/>
  <c r="H32" i="32"/>
  <c r="K32" i="32" s="1"/>
  <c r="M31" i="24"/>
  <c r="N31" i="32" s="1"/>
  <c r="H31" i="32"/>
  <c r="K31" i="32" s="1"/>
  <c r="M37" i="24"/>
  <c r="N37" i="32" s="1"/>
  <c r="H37" i="32"/>
  <c r="K37" i="32" s="1"/>
  <c r="M24" i="24"/>
  <c r="M26" i="24"/>
  <c r="N26" i="32" s="1"/>
  <c r="H26" i="32"/>
  <c r="K26" i="32" s="1"/>
  <c r="M25" i="24"/>
  <c r="N25" i="32" s="1"/>
  <c r="N38" i="32" s="1"/>
  <c r="H25" i="32"/>
  <c r="K25" i="32" s="1"/>
  <c r="Q10" i="25"/>
  <c r="P10" i="32" s="1"/>
  <c r="O10" i="25"/>
  <c r="S10" i="25"/>
  <c r="V10" i="25"/>
  <c r="U10" i="25" s="1"/>
  <c r="F28" i="25"/>
  <c r="G28" i="25"/>
  <c r="M28" i="25" s="1"/>
  <c r="F34" i="25"/>
  <c r="G34" i="25"/>
  <c r="M34" i="25" s="1"/>
  <c r="F22" i="25"/>
  <c r="G22" i="25"/>
  <c r="M22" i="25" s="1"/>
  <c r="F9" i="25"/>
  <c r="G9" i="25"/>
  <c r="M9" i="25" s="1"/>
  <c r="L9" i="25" s="1"/>
  <c r="F11" i="25"/>
  <c r="G11" i="25"/>
  <c r="M11" i="25" s="1"/>
  <c r="L11" i="25" s="1"/>
  <c r="F29" i="25"/>
  <c r="G29" i="25"/>
  <c r="M29" i="25" s="1"/>
  <c r="G38" i="19"/>
  <c r="F20" i="19"/>
  <c r="X22" i="32" l="1"/>
  <c r="W22" i="32"/>
  <c r="L21" i="24"/>
  <c r="Q20" i="19"/>
  <c r="Q38" i="19" s="1"/>
  <c r="S20" i="19"/>
  <c r="S38" i="19" s="1"/>
  <c r="V20" i="19"/>
  <c r="O20" i="19"/>
  <c r="O38" i="19" s="1"/>
  <c r="Q14" i="24"/>
  <c r="O14" i="24"/>
  <c r="S14" i="24"/>
  <c r="S12" i="24"/>
  <c r="V12" i="24"/>
  <c r="U12" i="24" s="1"/>
  <c r="F12" i="25" s="1"/>
  <c r="Q12" i="24"/>
  <c r="Q13" i="24"/>
  <c r="S13" i="24"/>
  <c r="V13" i="24"/>
  <c r="U13" i="24" s="1"/>
  <c r="F13" i="25" s="1"/>
  <c r="L31" i="32"/>
  <c r="T31" i="32"/>
  <c r="U31" i="32" s="1"/>
  <c r="L27" i="32"/>
  <c r="T27" i="32"/>
  <c r="U27" i="32" s="1"/>
  <c r="I13" i="32"/>
  <c r="L13" i="32"/>
  <c r="I21" i="32"/>
  <c r="L33" i="32"/>
  <c r="T33" i="32"/>
  <c r="U33" i="32" s="1"/>
  <c r="T24" i="32"/>
  <c r="I24" i="32"/>
  <c r="L32" i="32"/>
  <c r="T32" i="32"/>
  <c r="U32" i="32" s="1"/>
  <c r="L12" i="32"/>
  <c r="I12" i="32"/>
  <c r="L22" i="32"/>
  <c r="U22" i="32"/>
  <c r="V22" i="32" s="1"/>
  <c r="L26" i="32"/>
  <c r="T26" i="32"/>
  <c r="U26" i="32" s="1"/>
  <c r="L25" i="32"/>
  <c r="T25" i="32"/>
  <c r="U25" i="32" s="1"/>
  <c r="L37" i="32"/>
  <c r="T37" i="32"/>
  <c r="U37" i="32" s="1"/>
  <c r="L30" i="32"/>
  <c r="T30" i="32"/>
  <c r="U30" i="32" s="1"/>
  <c r="L35" i="32"/>
  <c r="T35" i="32"/>
  <c r="U35" i="32" s="1"/>
  <c r="T23" i="32"/>
  <c r="I23" i="32"/>
  <c r="T36" i="32"/>
  <c r="U36" i="32" s="1"/>
  <c r="T10" i="32"/>
  <c r="S9" i="25"/>
  <c r="O9" i="25"/>
  <c r="Q9" i="25"/>
  <c r="P9" i="32" s="1"/>
  <c r="V9" i="25"/>
  <c r="U9" i="25" s="1"/>
  <c r="Q11" i="25"/>
  <c r="P11" i="32" s="1"/>
  <c r="O11" i="25"/>
  <c r="S11" i="25"/>
  <c r="V11" i="25"/>
  <c r="U11" i="25" s="1"/>
  <c r="F10" i="26"/>
  <c r="G10" i="26"/>
  <c r="M10" i="26" s="1"/>
  <c r="L10" i="26" s="1"/>
  <c r="F14" i="25"/>
  <c r="G14" i="25"/>
  <c r="M14" i="25" s="1"/>
  <c r="L14" i="25" s="1"/>
  <c r="F30" i="25"/>
  <c r="G30" i="25"/>
  <c r="M30" i="25" s="1"/>
  <c r="F27" i="25"/>
  <c r="G27" i="25"/>
  <c r="M27" i="25" s="1"/>
  <c r="F26" i="25"/>
  <c r="G26" i="25"/>
  <c r="M26" i="25" s="1"/>
  <c r="F24" i="25"/>
  <c r="G24" i="25"/>
  <c r="M24" i="25" s="1"/>
  <c r="F33" i="25"/>
  <c r="G33" i="25"/>
  <c r="M33" i="25" s="1"/>
  <c r="F35" i="25"/>
  <c r="G35" i="25"/>
  <c r="M35" i="25" s="1"/>
  <c r="F31" i="25"/>
  <c r="G31" i="25"/>
  <c r="M31" i="25" s="1"/>
  <c r="F23" i="25"/>
  <c r="G23" i="25"/>
  <c r="M23" i="25" s="1"/>
  <c r="F32" i="25"/>
  <c r="G32" i="25"/>
  <c r="M32" i="25" s="1"/>
  <c r="F25" i="25"/>
  <c r="G25" i="25"/>
  <c r="M25" i="25" s="1"/>
  <c r="F37" i="25"/>
  <c r="G37" i="25"/>
  <c r="M37" i="25" s="1"/>
  <c r="F36" i="25"/>
  <c r="G36" i="25"/>
  <c r="M36" i="25" s="1"/>
  <c r="V10" i="32" l="1"/>
  <c r="W10" i="32"/>
  <c r="X23" i="32"/>
  <c r="W23" i="32"/>
  <c r="X24" i="32"/>
  <c r="W24" i="32"/>
  <c r="Y22" i="32"/>
  <c r="S21" i="24"/>
  <c r="Q21" i="24"/>
  <c r="O21" i="24"/>
  <c r="V21" i="24"/>
  <c r="U20" i="19"/>
  <c r="V38" i="19"/>
  <c r="L21" i="32"/>
  <c r="T21" i="32"/>
  <c r="G12" i="25"/>
  <c r="M12" i="25" s="1"/>
  <c r="L12" i="25" s="1"/>
  <c r="O12" i="25" s="1"/>
  <c r="G13" i="25"/>
  <c r="M13" i="25" s="1"/>
  <c r="L13" i="25" s="1"/>
  <c r="V13" i="25" s="1"/>
  <c r="U13" i="25" s="1"/>
  <c r="L24" i="32"/>
  <c r="U24" i="32"/>
  <c r="V24" i="32" s="1"/>
  <c r="L23" i="32"/>
  <c r="U23" i="32"/>
  <c r="V23" i="32" s="1"/>
  <c r="T11" i="32"/>
  <c r="Q13" i="25"/>
  <c r="P13" i="32" s="1"/>
  <c r="O10" i="26"/>
  <c r="S10" i="26"/>
  <c r="Q10" i="26"/>
  <c r="V10" i="26"/>
  <c r="U10" i="26" s="1"/>
  <c r="V14" i="25"/>
  <c r="U14" i="25" s="1"/>
  <c r="S14" i="25"/>
  <c r="Q14" i="25"/>
  <c r="P14" i="32" s="1"/>
  <c r="O14" i="25"/>
  <c r="F11" i="26"/>
  <c r="G11" i="26"/>
  <c r="M11" i="26" s="1"/>
  <c r="L11" i="26" s="1"/>
  <c r="F28" i="26"/>
  <c r="G28" i="26"/>
  <c r="M28" i="26" s="1"/>
  <c r="F34" i="26"/>
  <c r="G34" i="26"/>
  <c r="M34" i="26" s="1"/>
  <c r="F29" i="26"/>
  <c r="G29" i="26"/>
  <c r="M29" i="26" s="1"/>
  <c r="F9" i="26"/>
  <c r="G9" i="26"/>
  <c r="M9" i="26" s="1"/>
  <c r="L9" i="26" s="1"/>
  <c r="F22" i="26"/>
  <c r="G22" i="26"/>
  <c r="M22" i="26" s="1"/>
  <c r="G20" i="20"/>
  <c r="M20" i="20" s="1"/>
  <c r="V11" i="32" l="1"/>
  <c r="W11" i="32"/>
  <c r="W21" i="32"/>
  <c r="V21" i="32"/>
  <c r="Y24" i="32"/>
  <c r="Y23" i="32"/>
  <c r="U21" i="24"/>
  <c r="F21" i="25" s="1"/>
  <c r="G21" i="25"/>
  <c r="M21" i="25" s="1"/>
  <c r="L21" i="25" s="1"/>
  <c r="M38" i="20"/>
  <c r="L20" i="20"/>
  <c r="V12" i="25"/>
  <c r="U12" i="25" s="1"/>
  <c r="Q12" i="25"/>
  <c r="P12" i="32" s="1"/>
  <c r="S12" i="25"/>
  <c r="T14" i="32"/>
  <c r="S13" i="25"/>
  <c r="O13" i="25"/>
  <c r="T12" i="32"/>
  <c r="S11" i="26"/>
  <c r="Q11" i="26"/>
  <c r="O11" i="26"/>
  <c r="V11" i="26"/>
  <c r="U11" i="26" s="1"/>
  <c r="O9" i="26"/>
  <c r="Q9" i="26"/>
  <c r="S9" i="26"/>
  <c r="V9" i="26"/>
  <c r="U9" i="26" s="1"/>
  <c r="F10" i="27"/>
  <c r="G10" i="27"/>
  <c r="M10" i="27" s="1"/>
  <c r="L10" i="27" s="1"/>
  <c r="F14" i="26"/>
  <c r="G14" i="26"/>
  <c r="M14" i="26" s="1"/>
  <c r="L14" i="26" s="1"/>
  <c r="F35" i="26"/>
  <c r="G35" i="26"/>
  <c r="M35" i="26" s="1"/>
  <c r="F36" i="26"/>
  <c r="G36" i="26"/>
  <c r="M36" i="26" s="1"/>
  <c r="F25" i="26"/>
  <c r="G25" i="26"/>
  <c r="M25" i="26" s="1"/>
  <c r="F27" i="26"/>
  <c r="G27" i="26"/>
  <c r="M27" i="26" s="1"/>
  <c r="F33" i="26"/>
  <c r="G33" i="26"/>
  <c r="M33" i="26" s="1"/>
  <c r="F24" i="26"/>
  <c r="G24" i="26"/>
  <c r="M24" i="26" s="1"/>
  <c r="F23" i="26"/>
  <c r="G23" i="26"/>
  <c r="M23" i="26" s="1"/>
  <c r="F37" i="26"/>
  <c r="G37" i="26"/>
  <c r="M37" i="26" s="1"/>
  <c r="F13" i="26"/>
  <c r="G13" i="26"/>
  <c r="M13" i="26" s="1"/>
  <c r="L13" i="26" s="1"/>
  <c r="F32" i="26"/>
  <c r="G32" i="26"/>
  <c r="M32" i="26" s="1"/>
  <c r="F31" i="26"/>
  <c r="G31" i="26"/>
  <c r="M31" i="26" s="1"/>
  <c r="F12" i="26"/>
  <c r="G12" i="26"/>
  <c r="M12" i="26" s="1"/>
  <c r="L12" i="26" s="1"/>
  <c r="F30" i="26"/>
  <c r="G30" i="26"/>
  <c r="M30" i="26" s="1"/>
  <c r="F26" i="26"/>
  <c r="G26" i="26"/>
  <c r="M26" i="26" s="1"/>
  <c r="G38" i="20"/>
  <c r="F20" i="20"/>
  <c r="W12" i="32" l="1"/>
  <c r="V12" i="32"/>
  <c r="W14" i="32"/>
  <c r="V14" i="32"/>
  <c r="V21" i="25"/>
  <c r="S21" i="25"/>
  <c r="Q21" i="25"/>
  <c r="P21" i="32" s="1"/>
  <c r="O21" i="25"/>
  <c r="Q20" i="20"/>
  <c r="Q38" i="20" s="1"/>
  <c r="O20" i="20"/>
  <c r="O38" i="20" s="1"/>
  <c r="S20" i="20"/>
  <c r="S38" i="20" s="1"/>
  <c r="V20" i="20"/>
  <c r="T13" i="32"/>
  <c r="V13" i="26"/>
  <c r="U13" i="26" s="1"/>
  <c r="S13" i="26"/>
  <c r="O13" i="26"/>
  <c r="Q13" i="26"/>
  <c r="S12" i="26"/>
  <c r="Q12" i="26"/>
  <c r="O12" i="26"/>
  <c r="V12" i="26"/>
  <c r="U12" i="26" s="1"/>
  <c r="O10" i="27"/>
  <c r="Q10" i="27"/>
  <c r="S10" i="27"/>
  <c r="V10" i="27"/>
  <c r="U10" i="27" s="1"/>
  <c r="S14" i="26"/>
  <c r="Q14" i="26"/>
  <c r="O14" i="26"/>
  <c r="V14" i="26"/>
  <c r="U14" i="26" s="1"/>
  <c r="F28" i="27"/>
  <c r="G28" i="27"/>
  <c r="M28" i="27" s="1"/>
  <c r="F11" i="27"/>
  <c r="G11" i="27"/>
  <c r="M11" i="27" s="1"/>
  <c r="L11" i="27" s="1"/>
  <c r="F29" i="27"/>
  <c r="G29" i="27"/>
  <c r="M29" i="27" s="1"/>
  <c r="F22" i="27"/>
  <c r="G22" i="27"/>
  <c r="M22" i="27" s="1"/>
  <c r="F9" i="27"/>
  <c r="G9" i="27"/>
  <c r="M9" i="27" s="1"/>
  <c r="L9" i="27" s="1"/>
  <c r="F34" i="27"/>
  <c r="G34" i="27"/>
  <c r="M34" i="27" s="1"/>
  <c r="W13" i="32" l="1"/>
  <c r="V13" i="32"/>
  <c r="U21" i="25"/>
  <c r="F21" i="26" s="1"/>
  <c r="G21" i="26"/>
  <c r="M21" i="26" s="1"/>
  <c r="L21" i="26" s="1"/>
  <c r="U20" i="20"/>
  <c r="V38" i="20"/>
  <c r="O9" i="27"/>
  <c r="S9" i="27"/>
  <c r="Q9" i="27"/>
  <c r="V9" i="27"/>
  <c r="U9" i="27" s="1"/>
  <c r="Q11" i="27"/>
  <c r="O11" i="27"/>
  <c r="S11" i="27"/>
  <c r="V11" i="27"/>
  <c r="U11" i="27" s="1"/>
  <c r="F10" i="28"/>
  <c r="G10" i="28"/>
  <c r="M10" i="28" s="1"/>
  <c r="L10" i="28" s="1"/>
  <c r="F32" i="27"/>
  <c r="G32" i="27"/>
  <c r="M32" i="27" s="1"/>
  <c r="F23" i="27"/>
  <c r="G23" i="27"/>
  <c r="M23" i="27" s="1"/>
  <c r="F26" i="27"/>
  <c r="G26" i="27"/>
  <c r="M26" i="27" s="1"/>
  <c r="F13" i="27"/>
  <c r="G13" i="27"/>
  <c r="M13" i="27" s="1"/>
  <c r="L13" i="27" s="1"/>
  <c r="F14" i="27"/>
  <c r="G14" i="27"/>
  <c r="M14" i="27" s="1"/>
  <c r="L14" i="27" s="1"/>
  <c r="F12" i="27"/>
  <c r="G12" i="27"/>
  <c r="M12" i="27" s="1"/>
  <c r="L12" i="27" s="1"/>
  <c r="F33" i="27"/>
  <c r="G33" i="27"/>
  <c r="M33" i="27" s="1"/>
  <c r="F31" i="27"/>
  <c r="G31" i="27"/>
  <c r="M31" i="27" s="1"/>
  <c r="F27" i="27"/>
  <c r="G27" i="27"/>
  <c r="M27" i="27" s="1"/>
  <c r="F30" i="27"/>
  <c r="G30" i="27"/>
  <c r="M30" i="27" s="1"/>
  <c r="F24" i="27"/>
  <c r="G24" i="27"/>
  <c r="M24" i="27" s="1"/>
  <c r="F36" i="27"/>
  <c r="G36" i="27"/>
  <c r="M36" i="27" s="1"/>
  <c r="F37" i="27"/>
  <c r="G37" i="27"/>
  <c r="M37" i="27" s="1"/>
  <c r="F35" i="27"/>
  <c r="G35" i="27"/>
  <c r="M35" i="27" s="1"/>
  <c r="F25" i="27"/>
  <c r="G25" i="27"/>
  <c r="M25" i="27" s="1"/>
  <c r="G20" i="21"/>
  <c r="M20" i="21" s="1"/>
  <c r="S21" i="26" l="1"/>
  <c r="O21" i="26"/>
  <c r="Q21" i="26"/>
  <c r="V21" i="26"/>
  <c r="M38" i="21"/>
  <c r="L20" i="21"/>
  <c r="Q13" i="27"/>
  <c r="O13" i="27"/>
  <c r="S13" i="27"/>
  <c r="V13" i="27"/>
  <c r="U13" i="27" s="1"/>
  <c r="V12" i="27"/>
  <c r="U12" i="27" s="1"/>
  <c r="S12" i="27"/>
  <c r="Q12" i="27"/>
  <c r="O12" i="27"/>
  <c r="S14" i="27"/>
  <c r="Q14" i="27"/>
  <c r="O14" i="27"/>
  <c r="V14" i="27"/>
  <c r="U14" i="27" s="1"/>
  <c r="O10" i="28"/>
  <c r="Q10" i="28"/>
  <c r="S10" i="28"/>
  <c r="V10" i="28"/>
  <c r="U10" i="28" s="1"/>
  <c r="F28" i="28"/>
  <c r="G28" i="28"/>
  <c r="M28" i="28" s="1"/>
  <c r="F22" i="28"/>
  <c r="G22" i="28"/>
  <c r="M22" i="28" s="1"/>
  <c r="F11" i="28"/>
  <c r="G11" i="28"/>
  <c r="M11" i="28" s="1"/>
  <c r="L11" i="28" s="1"/>
  <c r="F29" i="28"/>
  <c r="G29" i="28"/>
  <c r="M29" i="28" s="1"/>
  <c r="F9" i="28"/>
  <c r="G9" i="28"/>
  <c r="M9" i="28" s="1"/>
  <c r="L9" i="28" s="1"/>
  <c r="F34" i="28"/>
  <c r="G34" i="28"/>
  <c r="M34" i="28" s="1"/>
  <c r="G38" i="21"/>
  <c r="F20" i="21"/>
  <c r="U21" i="26" l="1"/>
  <c r="F21" i="27" s="1"/>
  <c r="G21" i="27"/>
  <c r="M21" i="27" s="1"/>
  <c r="L21" i="27" s="1"/>
  <c r="O20" i="21"/>
  <c r="O38" i="21" s="1"/>
  <c r="V20" i="21"/>
  <c r="S20" i="21"/>
  <c r="S38" i="21" s="1"/>
  <c r="Q20" i="21"/>
  <c r="Q38" i="21" s="1"/>
  <c r="S11" i="28"/>
  <c r="Q11" i="28"/>
  <c r="O11" i="28"/>
  <c r="V11" i="28"/>
  <c r="U11" i="28" s="1"/>
  <c r="Q9" i="28"/>
  <c r="S9" i="28"/>
  <c r="O9" i="28"/>
  <c r="V9" i="28"/>
  <c r="U9" i="28" s="1"/>
  <c r="F10" i="29"/>
  <c r="G10" i="29"/>
  <c r="M10" i="29" s="1"/>
  <c r="L10" i="29" s="1"/>
  <c r="F12" i="28"/>
  <c r="G12" i="28"/>
  <c r="M12" i="28" s="1"/>
  <c r="L12" i="28" s="1"/>
  <c r="F36" i="28"/>
  <c r="G36" i="28"/>
  <c r="M36" i="28" s="1"/>
  <c r="F30" i="28"/>
  <c r="G30" i="28"/>
  <c r="M30" i="28" s="1"/>
  <c r="F32" i="28"/>
  <c r="G32" i="28"/>
  <c r="M32" i="28" s="1"/>
  <c r="F33" i="28"/>
  <c r="G33" i="28"/>
  <c r="M33" i="28" s="1"/>
  <c r="F37" i="28"/>
  <c r="G37" i="28"/>
  <c r="M37" i="28" s="1"/>
  <c r="F25" i="28"/>
  <c r="G25" i="28"/>
  <c r="M25" i="28" s="1"/>
  <c r="F35" i="28"/>
  <c r="G35" i="28"/>
  <c r="M35" i="28" s="1"/>
  <c r="F27" i="28"/>
  <c r="G27" i="28"/>
  <c r="M27" i="28" s="1"/>
  <c r="F14" i="28"/>
  <c r="G14" i="28"/>
  <c r="M14" i="28" s="1"/>
  <c r="L14" i="28" s="1"/>
  <c r="F13" i="28"/>
  <c r="G13" i="28"/>
  <c r="M13" i="28" s="1"/>
  <c r="L13" i="28" s="1"/>
  <c r="F31" i="28"/>
  <c r="G31" i="28"/>
  <c r="M31" i="28" s="1"/>
  <c r="F23" i="28"/>
  <c r="G23" i="28"/>
  <c r="M23" i="28" s="1"/>
  <c r="F24" i="28"/>
  <c r="G24" i="28"/>
  <c r="M24" i="28" s="1"/>
  <c r="F26" i="28"/>
  <c r="G26" i="28"/>
  <c r="M26" i="28" s="1"/>
  <c r="V21" i="27" l="1"/>
  <c r="S21" i="27"/>
  <c r="Q21" i="27"/>
  <c r="O21" i="27"/>
  <c r="U20" i="21"/>
  <c r="V38" i="21"/>
  <c r="S13" i="28"/>
  <c r="V13" i="28"/>
  <c r="U13" i="28" s="1"/>
  <c r="O13" i="28"/>
  <c r="Q13" i="28"/>
  <c r="Q12" i="28"/>
  <c r="V12" i="28"/>
  <c r="U12" i="28" s="1"/>
  <c r="S12" i="28"/>
  <c r="O12" i="28"/>
  <c r="S10" i="29"/>
  <c r="Q10" i="29"/>
  <c r="O10" i="29"/>
  <c r="V10" i="29"/>
  <c r="U10" i="29" s="1"/>
  <c r="Q14" i="28"/>
  <c r="O14" i="28"/>
  <c r="S14" i="28"/>
  <c r="V14" i="28"/>
  <c r="U14" i="28" s="1"/>
  <c r="F9" i="29"/>
  <c r="G9" i="29"/>
  <c r="M9" i="29" s="1"/>
  <c r="L9" i="29" s="1"/>
  <c r="F11" i="29"/>
  <c r="G11" i="29"/>
  <c r="M11" i="29" s="1"/>
  <c r="L11" i="29" s="1"/>
  <c r="F34" i="29"/>
  <c r="G34" i="29"/>
  <c r="M34" i="29" s="1"/>
  <c r="F28" i="29"/>
  <c r="G28" i="29"/>
  <c r="M28" i="29" s="1"/>
  <c r="F29" i="29"/>
  <c r="G29" i="29"/>
  <c r="M29" i="29" s="1"/>
  <c r="F22" i="29"/>
  <c r="G22" i="29"/>
  <c r="M22" i="29" s="1"/>
  <c r="G20" i="22"/>
  <c r="M20" i="22" s="1"/>
  <c r="U21" i="27" l="1"/>
  <c r="F21" i="28" s="1"/>
  <c r="G21" i="28"/>
  <c r="M21" i="28" s="1"/>
  <c r="L21" i="28" s="1"/>
  <c r="M38" i="22"/>
  <c r="L20" i="22"/>
  <c r="S9" i="29"/>
  <c r="O9" i="29"/>
  <c r="Q9" i="29"/>
  <c r="V9" i="29"/>
  <c r="U9" i="29" s="1"/>
  <c r="S11" i="29"/>
  <c r="Q11" i="29"/>
  <c r="O11" i="29"/>
  <c r="V11" i="29"/>
  <c r="U11" i="29" s="1"/>
  <c r="F10" i="30"/>
  <c r="G10" i="30"/>
  <c r="M10" i="30" s="1"/>
  <c r="L10" i="30" s="1"/>
  <c r="F30" i="29"/>
  <c r="G30" i="29"/>
  <c r="M30" i="29" s="1"/>
  <c r="F26" i="29"/>
  <c r="G26" i="29"/>
  <c r="M26" i="29" s="1"/>
  <c r="F24" i="29"/>
  <c r="G24" i="29"/>
  <c r="M24" i="29" s="1"/>
  <c r="F14" i="29"/>
  <c r="G14" i="29"/>
  <c r="M14" i="29" s="1"/>
  <c r="L14" i="29" s="1"/>
  <c r="F25" i="29"/>
  <c r="G25" i="29"/>
  <c r="M25" i="29" s="1"/>
  <c r="F36" i="29"/>
  <c r="G36" i="29"/>
  <c r="M36" i="29" s="1"/>
  <c r="F13" i="29"/>
  <c r="G13" i="29"/>
  <c r="M13" i="29" s="1"/>
  <c r="L13" i="29" s="1"/>
  <c r="F27" i="29"/>
  <c r="G27" i="29"/>
  <c r="M27" i="29" s="1"/>
  <c r="F12" i="29"/>
  <c r="G12" i="29"/>
  <c r="M12" i="29" s="1"/>
  <c r="L12" i="29" s="1"/>
  <c r="F33" i="29"/>
  <c r="G33" i="29"/>
  <c r="M33" i="29" s="1"/>
  <c r="F23" i="29"/>
  <c r="G23" i="29"/>
  <c r="M23" i="29" s="1"/>
  <c r="F37" i="29"/>
  <c r="G37" i="29"/>
  <c r="M37" i="29" s="1"/>
  <c r="F32" i="29"/>
  <c r="G32" i="29"/>
  <c r="M32" i="29" s="1"/>
  <c r="F35" i="29"/>
  <c r="G35" i="29"/>
  <c r="M35" i="29" s="1"/>
  <c r="F31" i="29"/>
  <c r="G31" i="29"/>
  <c r="M31" i="29" s="1"/>
  <c r="G38" i="22"/>
  <c r="F20" i="22"/>
  <c r="V21" i="28" l="1"/>
  <c r="S21" i="28"/>
  <c r="O21" i="28"/>
  <c r="Q21" i="28"/>
  <c r="Q20" i="22"/>
  <c r="Q38" i="22" s="1"/>
  <c r="S20" i="22"/>
  <c r="S38" i="22" s="1"/>
  <c r="O20" i="22"/>
  <c r="O38" i="22" s="1"/>
  <c r="V20" i="22"/>
  <c r="V13" i="29"/>
  <c r="U13" i="29" s="1"/>
  <c r="Q13" i="29"/>
  <c r="O13" i="29"/>
  <c r="S13" i="29"/>
  <c r="S12" i="29"/>
  <c r="V12" i="29"/>
  <c r="U12" i="29" s="1"/>
  <c r="O12" i="29"/>
  <c r="Q12" i="29"/>
  <c r="S14" i="29"/>
  <c r="Q14" i="29"/>
  <c r="O14" i="29"/>
  <c r="V14" i="29"/>
  <c r="U14" i="29" s="1"/>
  <c r="S10" i="30"/>
  <c r="Q10" i="30"/>
  <c r="O10" i="30"/>
  <c r="V10" i="30"/>
  <c r="U10" i="30" s="1"/>
  <c r="F9" i="30"/>
  <c r="G9" i="30"/>
  <c r="M9" i="30" s="1"/>
  <c r="L9" i="30" s="1"/>
  <c r="F22" i="30"/>
  <c r="G22" i="30"/>
  <c r="M22" i="30" s="1"/>
  <c r="F11" i="30"/>
  <c r="G11" i="30"/>
  <c r="M11" i="30" s="1"/>
  <c r="L11" i="30" s="1"/>
  <c r="F34" i="30"/>
  <c r="G34" i="30"/>
  <c r="M34" i="30" s="1"/>
  <c r="F29" i="30"/>
  <c r="G29" i="30"/>
  <c r="M29" i="30" s="1"/>
  <c r="F28" i="30"/>
  <c r="G28" i="30"/>
  <c r="M28" i="30" s="1"/>
  <c r="U21" i="28" l="1"/>
  <c r="F21" i="29" s="1"/>
  <c r="G21" i="29"/>
  <c r="M21" i="29" s="1"/>
  <c r="L21" i="29" s="1"/>
  <c r="U20" i="22"/>
  <c r="V38" i="22"/>
  <c r="Q11" i="30"/>
  <c r="O11" i="30"/>
  <c r="S11" i="30"/>
  <c r="V11" i="30"/>
  <c r="U11" i="30" s="1"/>
  <c r="O9" i="30"/>
  <c r="Q9" i="30"/>
  <c r="S9" i="30"/>
  <c r="V9" i="30"/>
  <c r="U9" i="30" s="1"/>
  <c r="F10" i="31"/>
  <c r="G10" i="31"/>
  <c r="M10" i="31" s="1"/>
  <c r="L10" i="31" s="1"/>
  <c r="F37" i="30"/>
  <c r="G37" i="30"/>
  <c r="M37" i="30" s="1"/>
  <c r="F14" i="30"/>
  <c r="G14" i="30"/>
  <c r="M14" i="30" s="1"/>
  <c r="L14" i="30" s="1"/>
  <c r="F36" i="30"/>
  <c r="G36" i="30"/>
  <c r="M36" i="30" s="1"/>
  <c r="F27" i="30"/>
  <c r="G27" i="30"/>
  <c r="M27" i="30" s="1"/>
  <c r="F24" i="30"/>
  <c r="G24" i="30"/>
  <c r="M24" i="30" s="1"/>
  <c r="F31" i="30"/>
  <c r="G31" i="30"/>
  <c r="M31" i="30" s="1"/>
  <c r="F32" i="30"/>
  <c r="G32" i="30"/>
  <c r="M32" i="30" s="1"/>
  <c r="F35" i="30"/>
  <c r="G35" i="30"/>
  <c r="M35" i="30" s="1"/>
  <c r="F26" i="30"/>
  <c r="G26" i="30"/>
  <c r="M26" i="30" s="1"/>
  <c r="F33" i="30"/>
  <c r="G33" i="30"/>
  <c r="M33" i="30" s="1"/>
  <c r="F13" i="30"/>
  <c r="G13" i="30"/>
  <c r="M13" i="30" s="1"/>
  <c r="L13" i="30" s="1"/>
  <c r="F25" i="30"/>
  <c r="G25" i="30"/>
  <c r="M25" i="30" s="1"/>
  <c r="F23" i="30"/>
  <c r="G23" i="30"/>
  <c r="M23" i="30" s="1"/>
  <c r="F30" i="30"/>
  <c r="G30" i="30"/>
  <c r="M30" i="30" s="1"/>
  <c r="F12" i="30"/>
  <c r="G12" i="30"/>
  <c r="M12" i="30" s="1"/>
  <c r="L12" i="30" s="1"/>
  <c r="G20" i="23"/>
  <c r="M20" i="23" s="1"/>
  <c r="V21" i="29" l="1"/>
  <c r="S21" i="29"/>
  <c r="Q21" i="29"/>
  <c r="O21" i="29"/>
  <c r="M38" i="23"/>
  <c r="L20" i="23"/>
  <c r="O13" i="30"/>
  <c r="Q13" i="30"/>
  <c r="S13" i="30"/>
  <c r="V13" i="30"/>
  <c r="U13" i="30" s="1"/>
  <c r="Q12" i="30"/>
  <c r="V12" i="30"/>
  <c r="U12" i="30" s="1"/>
  <c r="S12" i="30"/>
  <c r="O12" i="30"/>
  <c r="O10" i="31"/>
  <c r="Q10" i="31"/>
  <c r="S10" i="31"/>
  <c r="V10" i="31"/>
  <c r="U10" i="31" s="1"/>
  <c r="S14" i="30"/>
  <c r="Q14" i="30"/>
  <c r="O14" i="30"/>
  <c r="V14" i="30"/>
  <c r="U14" i="30" s="1"/>
  <c r="F22" i="31"/>
  <c r="G22" i="31"/>
  <c r="M22" i="31" s="1"/>
  <c r="F11" i="31"/>
  <c r="G11" i="31"/>
  <c r="M11" i="31" s="1"/>
  <c r="L11" i="31" s="1"/>
  <c r="F34" i="31"/>
  <c r="G34" i="31"/>
  <c r="M34" i="31" s="1"/>
  <c r="F28" i="31"/>
  <c r="G28" i="31"/>
  <c r="M28" i="31" s="1"/>
  <c r="F9" i="31"/>
  <c r="G9" i="31"/>
  <c r="M9" i="31" s="1"/>
  <c r="L9" i="31" s="1"/>
  <c r="F29" i="31"/>
  <c r="G29" i="31"/>
  <c r="M29" i="31" s="1"/>
  <c r="G38" i="23"/>
  <c r="F20" i="23"/>
  <c r="U21" i="29" l="1"/>
  <c r="F21" i="30" s="1"/>
  <c r="G21" i="30"/>
  <c r="M21" i="30" s="1"/>
  <c r="L21" i="30" s="1"/>
  <c r="V20" i="23"/>
  <c r="Q20" i="23"/>
  <c r="Q38" i="23" s="1"/>
  <c r="O20" i="23"/>
  <c r="O38" i="23" s="1"/>
  <c r="S20" i="23"/>
  <c r="S38" i="23" s="1"/>
  <c r="S9" i="31"/>
  <c r="S10" i="32" s="1"/>
  <c r="Q9" i="31"/>
  <c r="O9" i="31"/>
  <c r="V9" i="31"/>
  <c r="U9" i="31" s="1"/>
  <c r="S11" i="31"/>
  <c r="Q11" i="31"/>
  <c r="O11" i="31"/>
  <c r="V11" i="31"/>
  <c r="U11" i="31" s="1"/>
  <c r="S34" i="32"/>
  <c r="Q34" i="32"/>
  <c r="F30" i="31"/>
  <c r="G30" i="31"/>
  <c r="M30" i="31" s="1"/>
  <c r="F35" i="31"/>
  <c r="G35" i="31"/>
  <c r="M35" i="31" s="1"/>
  <c r="F36" i="31"/>
  <c r="G36" i="31"/>
  <c r="M36" i="31" s="1"/>
  <c r="Q9" i="32"/>
  <c r="F33" i="31"/>
  <c r="G33" i="31"/>
  <c r="M33" i="31" s="1"/>
  <c r="F12" i="31"/>
  <c r="G12" i="31"/>
  <c r="M12" i="31" s="1"/>
  <c r="L12" i="31" s="1"/>
  <c r="Q29" i="32"/>
  <c r="S29" i="32"/>
  <c r="F27" i="31"/>
  <c r="G27" i="31"/>
  <c r="M27" i="31" s="1"/>
  <c r="F37" i="31"/>
  <c r="G37" i="31"/>
  <c r="M37" i="31" s="1"/>
  <c r="F14" i="31"/>
  <c r="G14" i="31"/>
  <c r="M14" i="31" s="1"/>
  <c r="L14" i="31" s="1"/>
  <c r="Q28" i="32"/>
  <c r="S28" i="32"/>
  <c r="Q22" i="32"/>
  <c r="S22" i="32"/>
  <c r="F26" i="31"/>
  <c r="G26" i="31"/>
  <c r="M26" i="31" s="1"/>
  <c r="F24" i="31"/>
  <c r="G24" i="31"/>
  <c r="M24" i="31" s="1"/>
  <c r="F32" i="31"/>
  <c r="G32" i="31"/>
  <c r="M32" i="31" s="1"/>
  <c r="F23" i="31"/>
  <c r="G23" i="31"/>
  <c r="M23" i="31" s="1"/>
  <c r="F25" i="31"/>
  <c r="G25" i="31"/>
  <c r="M25" i="31" s="1"/>
  <c r="F13" i="31"/>
  <c r="G13" i="31"/>
  <c r="M13" i="31" s="1"/>
  <c r="L13" i="31" s="1"/>
  <c r="F31" i="31"/>
  <c r="G31" i="31"/>
  <c r="M31" i="31" s="1"/>
  <c r="O9" i="32" l="1"/>
  <c r="O8" i="32"/>
  <c r="V21" i="30"/>
  <c r="S21" i="30"/>
  <c r="O21" i="30"/>
  <c r="Q21" i="30"/>
  <c r="U20" i="23"/>
  <c r="V38" i="23"/>
  <c r="O10" i="32"/>
  <c r="S11" i="32"/>
  <c r="Q10" i="32"/>
  <c r="V13" i="31"/>
  <c r="U13" i="31" s="1"/>
  <c r="S13" i="31"/>
  <c r="Q13" i="31"/>
  <c r="O13" i="31"/>
  <c r="Q12" i="31"/>
  <c r="Q12" i="32" s="1"/>
  <c r="V12" i="31"/>
  <c r="U12" i="31" s="1"/>
  <c r="O12" i="31"/>
  <c r="S12" i="31"/>
  <c r="S13" i="32" s="1"/>
  <c r="S14" i="31"/>
  <c r="Q14" i="31"/>
  <c r="O14" i="31"/>
  <c r="V14" i="31"/>
  <c r="U14" i="31" s="1"/>
  <c r="V28" i="32"/>
  <c r="V34" i="32"/>
  <c r="V29" i="32"/>
  <c r="S32" i="32"/>
  <c r="Q32" i="32"/>
  <c r="S30" i="32"/>
  <c r="Q30" i="32"/>
  <c r="Q24" i="32"/>
  <c r="S24" i="32"/>
  <c r="Q21" i="32"/>
  <c r="S21" i="32"/>
  <c r="S36" i="32"/>
  <c r="Q36" i="32"/>
  <c r="Q25" i="32"/>
  <c r="S25" i="32"/>
  <c r="S23" i="32"/>
  <c r="Q23" i="32"/>
  <c r="Q26" i="32"/>
  <c r="S26" i="32"/>
  <c r="Q27" i="32"/>
  <c r="S27" i="32"/>
  <c r="S31" i="32"/>
  <c r="Q31" i="32"/>
  <c r="Q33" i="32"/>
  <c r="S33" i="32"/>
  <c r="S35" i="32"/>
  <c r="Q35" i="32"/>
  <c r="G20" i="24"/>
  <c r="U21" i="30" l="1"/>
  <c r="F21" i="31" s="1"/>
  <c r="G21" i="31"/>
  <c r="M21" i="31" s="1"/>
  <c r="L21" i="31" s="1"/>
  <c r="S12" i="32"/>
  <c r="Q11" i="32"/>
  <c r="O12" i="32"/>
  <c r="O11" i="32"/>
  <c r="M20" i="24"/>
  <c r="L20" i="24" s="1"/>
  <c r="V31" i="32"/>
  <c r="V33" i="32"/>
  <c r="V35" i="32"/>
  <c r="V27" i="32"/>
  <c r="V36" i="32"/>
  <c r="V30" i="32"/>
  <c r="V26" i="32"/>
  <c r="V25" i="32"/>
  <c r="V32" i="32"/>
  <c r="G38" i="24"/>
  <c r="F20" i="24"/>
  <c r="X21" i="32" l="1"/>
  <c r="Y21" i="32" s="1"/>
  <c r="X11" i="32"/>
  <c r="Y11" i="32" s="1"/>
  <c r="X10" i="32"/>
  <c r="Y10" i="32" s="1"/>
  <c r="S21" i="31"/>
  <c r="Q21" i="31"/>
  <c r="O21" i="31"/>
  <c r="O20" i="32" s="1"/>
  <c r="V21" i="31"/>
  <c r="U21" i="31" s="1"/>
  <c r="Q20" i="24"/>
  <c r="Q38" i="24" s="1"/>
  <c r="S20" i="24"/>
  <c r="S38" i="24" s="1"/>
  <c r="O20" i="24"/>
  <c r="O38" i="24" s="1"/>
  <c r="V20" i="24"/>
  <c r="I20" i="32"/>
  <c r="H38" i="32"/>
  <c r="M38" i="24"/>
  <c r="G20" i="25"/>
  <c r="M20" i="25" s="1"/>
  <c r="X12" i="32" l="1"/>
  <c r="Y12" i="32" s="1"/>
  <c r="M38" i="25"/>
  <c r="L20" i="25"/>
  <c r="U20" i="24"/>
  <c r="V38" i="24"/>
  <c r="L20" i="32"/>
  <c r="K38" i="32"/>
  <c r="G38" i="25"/>
  <c r="F20" i="25"/>
  <c r="Q20" i="25" l="1"/>
  <c r="S20" i="25"/>
  <c r="O20" i="25"/>
  <c r="O38" i="25" s="1"/>
  <c r="V20" i="25"/>
  <c r="T38" i="32"/>
  <c r="G20" i="26"/>
  <c r="M20" i="26" s="1"/>
  <c r="M38" i="26" l="1"/>
  <c r="L20" i="26"/>
  <c r="V38" i="25"/>
  <c r="U20" i="25"/>
  <c r="S38" i="25"/>
  <c r="P20" i="32"/>
  <c r="P38" i="32" s="1"/>
  <c r="Q38" i="25"/>
  <c r="G38" i="26"/>
  <c r="F20" i="26"/>
  <c r="V20" i="26" l="1"/>
  <c r="S20" i="26"/>
  <c r="S38" i="26" s="1"/>
  <c r="O20" i="26"/>
  <c r="O38" i="26" s="1"/>
  <c r="Q20" i="26"/>
  <c r="Q38" i="26" s="1"/>
  <c r="G20" i="27"/>
  <c r="M20" i="27" s="1"/>
  <c r="M38" i="27" l="1"/>
  <c r="L20" i="27"/>
  <c r="U20" i="26"/>
  <c r="V38" i="26"/>
  <c r="G38" i="27"/>
  <c r="F20" i="27"/>
  <c r="V20" i="27" l="1"/>
  <c r="Q20" i="27"/>
  <c r="Q38" i="27" s="1"/>
  <c r="O20" i="27"/>
  <c r="O38" i="27" s="1"/>
  <c r="S20" i="27"/>
  <c r="S38" i="27" s="1"/>
  <c r="G20" i="28"/>
  <c r="M20" i="28" s="1"/>
  <c r="M38" i="28" l="1"/>
  <c r="L20" i="28"/>
  <c r="U20" i="27"/>
  <c r="V38" i="27"/>
  <c r="G38" i="28"/>
  <c r="F20" i="28"/>
  <c r="Q20" i="28" l="1"/>
  <c r="Q38" i="28" s="1"/>
  <c r="O20" i="28"/>
  <c r="O38" i="28" s="1"/>
  <c r="S20" i="28"/>
  <c r="S38" i="28" s="1"/>
  <c r="V20" i="28"/>
  <c r="G20" i="29"/>
  <c r="M20" i="29" s="1"/>
  <c r="M38" i="29" l="1"/>
  <c r="L20" i="29"/>
  <c r="V38" i="28"/>
  <c r="U20" i="28"/>
  <c r="G38" i="29"/>
  <c r="F20" i="29"/>
  <c r="Q20" i="29" l="1"/>
  <c r="Q38" i="29" s="1"/>
  <c r="S20" i="29"/>
  <c r="S38" i="29" s="1"/>
  <c r="O20" i="29"/>
  <c r="O38" i="29" s="1"/>
  <c r="V20" i="29"/>
  <c r="G20" i="30"/>
  <c r="M20" i="30" s="1"/>
  <c r="M38" i="30" l="1"/>
  <c r="L20" i="30"/>
  <c r="U20" i="29"/>
  <c r="V38" i="29"/>
  <c r="G38" i="30"/>
  <c r="F20" i="30"/>
  <c r="V20" i="30" l="1"/>
  <c r="S20" i="30"/>
  <c r="S38" i="30" s="1"/>
  <c r="O20" i="30"/>
  <c r="O38" i="30" s="1"/>
  <c r="Q20" i="30"/>
  <c r="Q38" i="30" s="1"/>
  <c r="G20" i="31"/>
  <c r="M20" i="31" s="1"/>
  <c r="M38" i="31" l="1"/>
  <c r="L20" i="31"/>
  <c r="U20" i="30"/>
  <c r="V38" i="30"/>
  <c r="G38" i="31"/>
  <c r="F20" i="31"/>
  <c r="S20" i="31" l="1"/>
  <c r="S38" i="31" s="1"/>
  <c r="Q20" i="31"/>
  <c r="Q38" i="31" s="1"/>
  <c r="O20" i="31"/>
  <c r="O38" i="31" s="1"/>
  <c r="V20" i="31"/>
  <c r="Q20" i="32"/>
  <c r="S20" i="32"/>
  <c r="X20" i="32" l="1"/>
  <c r="U20" i="31"/>
  <c r="V38" i="31"/>
  <c r="Y20" i="32" l="1"/>
  <c r="J15" i="1"/>
  <c r="J39" i="1" l="1"/>
  <c r="J14" i="32"/>
  <c r="J8" i="32"/>
  <c r="M8" i="1"/>
  <c r="M8" i="32" l="1"/>
  <c r="I8" i="32"/>
  <c r="M14" i="32"/>
  <c r="L14" i="32" s="1"/>
  <c r="I14" i="32"/>
  <c r="J15" i="32"/>
  <c r="J39" i="32" s="1"/>
  <c r="L8" i="1"/>
  <c r="M15" i="1"/>
  <c r="M39" i="1" s="1"/>
  <c r="O8" i="1" l="1"/>
  <c r="S8" i="1"/>
  <c r="V8" i="1"/>
  <c r="U8" i="1" s="1"/>
  <c r="M15" i="32"/>
  <c r="M39" i="32" s="1"/>
  <c r="O15" i="1"/>
  <c r="Q8" i="1"/>
  <c r="S15" i="1"/>
  <c r="O39" i="1" l="1"/>
  <c r="S39" i="1"/>
  <c r="Q15" i="1"/>
  <c r="F8" i="2"/>
  <c r="G8" i="2"/>
  <c r="V15" i="1"/>
  <c r="V39" i="1" s="1"/>
  <c r="Q39" i="1" l="1"/>
  <c r="G15" i="2"/>
  <c r="G39" i="2" s="1"/>
  <c r="M8" i="2"/>
  <c r="M15" i="2" l="1"/>
  <c r="M39" i="2" s="1"/>
  <c r="L8" i="2"/>
  <c r="O8" i="2" s="1"/>
  <c r="O15" i="2" l="1"/>
  <c r="O39" i="2" s="1"/>
  <c r="Q8" i="2"/>
  <c r="Q15" i="2" s="1"/>
  <c r="Q39" i="2" s="1"/>
  <c r="S8" i="2"/>
  <c r="S15" i="2" s="1"/>
  <c r="S39" i="2" s="1"/>
  <c r="V8" i="2"/>
  <c r="G8" i="3" l="1"/>
  <c r="M8" i="3" s="1"/>
  <c r="V15" i="2"/>
  <c r="V39" i="2" s="1"/>
  <c r="U8" i="2"/>
  <c r="F8" i="3" s="1"/>
  <c r="M15" i="3" l="1"/>
  <c r="M39" i="3" s="1"/>
  <c r="L8" i="3"/>
  <c r="G15" i="3"/>
  <c r="G39" i="3" s="1"/>
  <c r="O8" i="3" l="1"/>
  <c r="Q8" i="3"/>
  <c r="S8" i="3"/>
  <c r="V8" i="3"/>
  <c r="V15" i="3" l="1"/>
  <c r="V39" i="3" s="1"/>
  <c r="U8" i="3"/>
  <c r="F8" i="4" s="1"/>
  <c r="G8" i="4"/>
  <c r="M8" i="4" s="1"/>
  <c r="L8" i="4" s="1"/>
  <c r="S15" i="3"/>
  <c r="Q15" i="3"/>
  <c r="Q13" i="32" s="1"/>
  <c r="O15" i="3"/>
  <c r="O13" i="32" s="1"/>
  <c r="S39" i="3" l="1"/>
  <c r="S37" i="32" s="1"/>
  <c r="S38" i="32" s="1"/>
  <c r="S14" i="32"/>
  <c r="Q39" i="3"/>
  <c r="Q37" i="32" s="1"/>
  <c r="Q38" i="32" s="1"/>
  <c r="O39" i="3"/>
  <c r="O37" i="32" s="1"/>
  <c r="M15" i="4"/>
  <c r="M39" i="4" s="1"/>
  <c r="S8" i="4"/>
  <c r="Q8" i="4"/>
  <c r="O8" i="4"/>
  <c r="V8" i="4"/>
  <c r="G15" i="4"/>
  <c r="G39" i="4" s="1"/>
  <c r="X13" i="32" l="1"/>
  <c r="Y13" i="32" s="1"/>
  <c r="O38" i="32"/>
  <c r="V37" i="32"/>
  <c r="V38" i="32" s="1"/>
  <c r="O15" i="4"/>
  <c r="Q15" i="4"/>
  <c r="V15" i="4"/>
  <c r="V39" i="4" s="1"/>
  <c r="U8" i="4"/>
  <c r="F8" i="5" s="1"/>
  <c r="G8" i="5"/>
  <c r="M8" i="5" s="1"/>
  <c r="S15" i="4"/>
  <c r="S39" i="4" s="1"/>
  <c r="Q39" i="4" l="1"/>
  <c r="O39" i="4"/>
  <c r="G15" i="5"/>
  <c r="G39" i="5" s="1"/>
  <c r="M15" i="5"/>
  <c r="M39" i="5" s="1"/>
  <c r="L8" i="5"/>
  <c r="O8" i="5" l="1"/>
  <c r="Q8" i="5"/>
  <c r="S8" i="5"/>
  <c r="V8" i="5"/>
  <c r="S15" i="5" l="1"/>
  <c r="S39" i="5" s="1"/>
  <c r="Q15" i="5"/>
  <c r="V15" i="5"/>
  <c r="V39" i="5" s="1"/>
  <c r="U8" i="5"/>
  <c r="F8" i="6" s="1"/>
  <c r="G8" i="6"/>
  <c r="O15" i="5"/>
  <c r="Q39" i="5" l="1"/>
  <c r="O39" i="5"/>
  <c r="M8" i="6"/>
  <c r="G15" i="6"/>
  <c r="G39" i="6" s="1"/>
  <c r="L8" i="6" l="1"/>
  <c r="M15" i="6"/>
  <c r="M39" i="6" s="1"/>
  <c r="S8" i="6" l="1"/>
  <c r="Q8" i="6"/>
  <c r="O8" i="6"/>
  <c r="V8" i="6"/>
  <c r="O15" i="6" l="1"/>
  <c r="O39" i="6" s="1"/>
  <c r="V15" i="6"/>
  <c r="V39" i="6" s="1"/>
  <c r="U8" i="6"/>
  <c r="F8" i="7" s="1"/>
  <c r="G8" i="7"/>
  <c r="Q15" i="6"/>
  <c r="S15" i="6"/>
  <c r="S39" i="6" s="1"/>
  <c r="Q39" i="6" l="1"/>
  <c r="M8" i="7"/>
  <c r="G15" i="7"/>
  <c r="G39" i="7" s="1"/>
  <c r="M15" i="7" l="1"/>
  <c r="M39" i="7" s="1"/>
  <c r="L8" i="7"/>
  <c r="Q8" i="7" l="1"/>
  <c r="O8" i="7"/>
  <c r="S8" i="7"/>
  <c r="V8" i="7"/>
  <c r="V15" i="7" l="1"/>
  <c r="V39" i="7" s="1"/>
  <c r="U8" i="7"/>
  <c r="F8" i="8" s="1"/>
  <c r="G8" i="8"/>
  <c r="O15" i="7"/>
  <c r="S15" i="7"/>
  <c r="S39" i="7" s="1"/>
  <c r="Q15" i="7"/>
  <c r="O39" i="7" l="1"/>
  <c r="Q39" i="7"/>
  <c r="M8" i="8"/>
  <c r="G15" i="8"/>
  <c r="G39" i="8" s="1"/>
  <c r="M15" i="8" l="1"/>
  <c r="M39" i="8" s="1"/>
  <c r="L8" i="8"/>
  <c r="Q8" i="8" l="1"/>
  <c r="O8" i="8"/>
  <c r="S8" i="8"/>
  <c r="V8" i="8"/>
  <c r="S15" i="8" l="1"/>
  <c r="S39" i="8" s="1"/>
  <c r="O15" i="8"/>
  <c r="V15" i="8"/>
  <c r="V39" i="8" s="1"/>
  <c r="U8" i="8"/>
  <c r="F8" i="9" s="1"/>
  <c r="G8" i="9"/>
  <c r="Q15" i="8"/>
  <c r="O39" i="8" l="1"/>
  <c r="Q39" i="8"/>
  <c r="M8" i="9"/>
  <c r="G15" i="9"/>
  <c r="G39" i="9" s="1"/>
  <c r="L8" i="9" l="1"/>
  <c r="M15" i="9"/>
  <c r="M39" i="9" s="1"/>
  <c r="S8" i="9" l="1"/>
  <c r="Q8" i="9"/>
  <c r="O8" i="9"/>
  <c r="V8" i="9"/>
  <c r="V15" i="9" l="1"/>
  <c r="U8" i="9"/>
  <c r="F8" i="10" s="1"/>
  <c r="V39" i="9"/>
  <c r="G8" i="10"/>
  <c r="Q15" i="9"/>
  <c r="O15" i="9"/>
  <c r="S15" i="9"/>
  <c r="S39" i="9" s="1"/>
  <c r="Q39" i="9" l="1"/>
  <c r="O39" i="9"/>
  <c r="M8" i="10"/>
  <c r="G15" i="10"/>
  <c r="G39" i="10" s="1"/>
  <c r="L8" i="10" l="1"/>
  <c r="M15" i="10"/>
  <c r="M39" i="10" s="1"/>
  <c r="S8" i="10" l="1"/>
  <c r="Q8" i="10"/>
  <c r="O8" i="10"/>
  <c r="V8" i="10"/>
  <c r="V15" i="10" l="1"/>
  <c r="V39" i="10" s="1"/>
  <c r="U8" i="10"/>
  <c r="F8" i="11" s="1"/>
  <c r="G8" i="11"/>
  <c r="O15" i="10"/>
  <c r="Q15" i="10"/>
  <c r="S15" i="10"/>
  <c r="S39" i="10" s="1"/>
  <c r="Q39" i="10" l="1"/>
  <c r="O39" i="10"/>
  <c r="M8" i="11"/>
  <c r="G15" i="11"/>
  <c r="G39" i="11" s="1"/>
  <c r="L8" i="11" l="1"/>
  <c r="M15" i="11"/>
  <c r="M39" i="11" s="1"/>
  <c r="O8" i="11" l="1"/>
  <c r="Q8" i="11"/>
  <c r="S8" i="11"/>
  <c r="V8" i="11"/>
  <c r="V15" i="11" l="1"/>
  <c r="V39" i="11" s="1"/>
  <c r="U8" i="11"/>
  <c r="F8" i="12" s="1"/>
  <c r="G8" i="12"/>
  <c r="S15" i="11"/>
  <c r="S39" i="11" s="1"/>
  <c r="Q15" i="11"/>
  <c r="O15" i="11"/>
  <c r="O39" i="11" l="1"/>
  <c r="Q39" i="11"/>
  <c r="M8" i="12"/>
  <c r="G15" i="12"/>
  <c r="G39" i="12" s="1"/>
  <c r="L8" i="12" l="1"/>
  <c r="M15" i="12"/>
  <c r="M39" i="12" s="1"/>
  <c r="O8" i="12" l="1"/>
  <c r="S8" i="12"/>
  <c r="Q8" i="12"/>
  <c r="V8" i="12"/>
  <c r="Q15" i="12" l="1"/>
  <c r="U8" i="12"/>
  <c r="F8" i="13" s="1"/>
  <c r="V15" i="12"/>
  <c r="V39" i="12" s="1"/>
  <c r="G8" i="13"/>
  <c r="S15" i="12"/>
  <c r="S39" i="12" s="1"/>
  <c r="O15" i="12"/>
  <c r="Q39" i="12" l="1"/>
  <c r="O39" i="12"/>
  <c r="M8" i="13"/>
  <c r="G15" i="13"/>
  <c r="G39" i="13" s="1"/>
  <c r="M15" i="13" l="1"/>
  <c r="M39" i="13" s="1"/>
  <c r="L8" i="13"/>
  <c r="S8" i="13" l="1"/>
  <c r="Q8" i="13"/>
  <c r="O8" i="13"/>
  <c r="V8" i="13"/>
  <c r="O15" i="13" l="1"/>
  <c r="Q15" i="13"/>
  <c r="V15" i="13"/>
  <c r="V39" i="13" s="1"/>
  <c r="U8" i="13"/>
  <c r="F8" i="14" s="1"/>
  <c r="G8" i="14"/>
  <c r="S15" i="13"/>
  <c r="S39" i="13" s="1"/>
  <c r="Q39" i="13" l="1"/>
  <c r="O39" i="13"/>
  <c r="M8" i="14"/>
  <c r="G15" i="14"/>
  <c r="G39" i="14" s="1"/>
  <c r="L8" i="14" l="1"/>
  <c r="M15" i="14"/>
  <c r="M39" i="14" s="1"/>
  <c r="Q8" i="14" l="1"/>
  <c r="O8" i="14"/>
  <c r="S8" i="14"/>
  <c r="V8" i="14"/>
  <c r="V15" i="14" l="1"/>
  <c r="V39" i="14" s="1"/>
  <c r="U8" i="14"/>
  <c r="F8" i="15" s="1"/>
  <c r="G8" i="15"/>
  <c r="S15" i="14"/>
  <c r="S39" i="14" s="1"/>
  <c r="O15" i="14"/>
  <c r="Q15" i="14"/>
  <c r="O39" i="14" l="1"/>
  <c r="Q39" i="14"/>
  <c r="M8" i="15"/>
  <c r="G15" i="15"/>
  <c r="G39" i="15" s="1"/>
  <c r="L8" i="15" l="1"/>
  <c r="M15" i="15"/>
  <c r="M39" i="15" s="1"/>
  <c r="O8" i="15" l="1"/>
  <c r="Q8" i="15"/>
  <c r="S8" i="15"/>
  <c r="V8" i="15"/>
  <c r="Q15" i="15" l="1"/>
  <c r="V15" i="15"/>
  <c r="V39" i="15" s="1"/>
  <c r="U8" i="15"/>
  <c r="F8" i="16" s="1"/>
  <c r="G8" i="16"/>
  <c r="S15" i="15"/>
  <c r="S39" i="15" s="1"/>
  <c r="O15" i="15"/>
  <c r="Q39" i="15" l="1"/>
  <c r="O39" i="15"/>
  <c r="M8" i="16"/>
  <c r="G15" i="16"/>
  <c r="G39" i="16" s="1"/>
  <c r="L8" i="16" l="1"/>
  <c r="M15" i="16"/>
  <c r="M39" i="16" s="1"/>
  <c r="S8" i="16" l="1"/>
  <c r="Q8" i="16"/>
  <c r="O8" i="16"/>
  <c r="V8" i="16"/>
  <c r="V15" i="16" l="1"/>
  <c r="V39" i="16" s="1"/>
  <c r="U8" i="16"/>
  <c r="F8" i="17" s="1"/>
  <c r="G8" i="17"/>
  <c r="O15" i="16"/>
  <c r="Q15" i="16"/>
  <c r="S15" i="16"/>
  <c r="S39" i="16" s="1"/>
  <c r="O39" i="16" l="1"/>
  <c r="Q39" i="16"/>
  <c r="M8" i="17"/>
  <c r="G15" i="17"/>
  <c r="G39" i="17" s="1"/>
  <c r="M15" i="17" l="1"/>
  <c r="M39" i="17" s="1"/>
  <c r="L8" i="17"/>
  <c r="S8" i="17" l="1"/>
  <c r="O8" i="17"/>
  <c r="Q8" i="17"/>
  <c r="V8" i="17"/>
  <c r="V15" i="17" l="1"/>
  <c r="V39" i="17" s="1"/>
  <c r="U8" i="17"/>
  <c r="F8" i="18" s="1"/>
  <c r="G8" i="18"/>
  <c r="O15" i="17"/>
  <c r="Q15" i="17"/>
  <c r="S15" i="17"/>
  <c r="S39" i="17" s="1"/>
  <c r="O39" i="17" l="1"/>
  <c r="Q39" i="17"/>
  <c r="M8" i="18"/>
  <c r="G15" i="18"/>
  <c r="G39" i="18" s="1"/>
  <c r="M15" i="18" l="1"/>
  <c r="M39" i="18" s="1"/>
  <c r="L8" i="18"/>
  <c r="O8" i="18" l="1"/>
  <c r="Q8" i="18"/>
  <c r="S8" i="18"/>
  <c r="V8" i="18"/>
  <c r="V15" i="18" l="1"/>
  <c r="V39" i="18" s="1"/>
  <c r="U8" i="18"/>
  <c r="F8" i="19" s="1"/>
  <c r="G8" i="19"/>
  <c r="Q15" i="18"/>
  <c r="S15" i="18"/>
  <c r="S39" i="18" s="1"/>
  <c r="O15" i="18"/>
  <c r="Q39" i="18" l="1"/>
  <c r="O39" i="18"/>
  <c r="M8" i="19"/>
  <c r="G15" i="19"/>
  <c r="G39" i="19" s="1"/>
  <c r="M15" i="19" l="1"/>
  <c r="M39" i="19" s="1"/>
  <c r="L8" i="19"/>
  <c r="S8" i="19" l="1"/>
  <c r="Q8" i="19"/>
  <c r="O8" i="19"/>
  <c r="V8" i="19"/>
  <c r="V15" i="19" l="1"/>
  <c r="V39" i="19" s="1"/>
  <c r="U8" i="19"/>
  <c r="F8" i="20" s="1"/>
  <c r="G8" i="20"/>
  <c r="O15" i="19"/>
  <c r="Q15" i="19"/>
  <c r="S15" i="19"/>
  <c r="S39" i="19" s="1"/>
  <c r="O39" i="19" l="1"/>
  <c r="Q39" i="19"/>
  <c r="M8" i="20"/>
  <c r="G15" i="20"/>
  <c r="G39" i="20" s="1"/>
  <c r="M15" i="20" l="1"/>
  <c r="M39" i="20" s="1"/>
  <c r="L8" i="20"/>
  <c r="Q8" i="20" l="1"/>
  <c r="O8" i="20"/>
  <c r="S8" i="20"/>
  <c r="V8" i="20"/>
  <c r="V15" i="20" l="1"/>
  <c r="V39" i="20" s="1"/>
  <c r="U8" i="20"/>
  <c r="F8" i="21" s="1"/>
  <c r="G8" i="21"/>
  <c r="S15" i="20"/>
  <c r="S39" i="20" s="1"/>
  <c r="O15" i="20"/>
  <c r="Q15" i="20"/>
  <c r="O39" i="20" l="1"/>
  <c r="Q39" i="20"/>
  <c r="M8" i="21"/>
  <c r="G15" i="21"/>
  <c r="G39" i="21" s="1"/>
  <c r="M15" i="21" l="1"/>
  <c r="M39" i="21" s="1"/>
  <c r="L8" i="21"/>
  <c r="S8" i="21" l="1"/>
  <c r="Q8" i="21"/>
  <c r="O8" i="21"/>
  <c r="V8" i="21"/>
  <c r="O15" i="21" l="1"/>
  <c r="V15" i="21"/>
  <c r="V39" i="21" s="1"/>
  <c r="U8" i="21"/>
  <c r="F8" i="22" s="1"/>
  <c r="G8" i="22"/>
  <c r="Q15" i="21"/>
  <c r="S15" i="21"/>
  <c r="S39" i="21" s="1"/>
  <c r="Q39" i="21" l="1"/>
  <c r="O39" i="21"/>
  <c r="M8" i="22"/>
  <c r="G15" i="22"/>
  <c r="G39" i="22" s="1"/>
  <c r="L8" i="22" l="1"/>
  <c r="M15" i="22"/>
  <c r="M39" i="22" s="1"/>
  <c r="O8" i="22" l="1"/>
  <c r="S8" i="22"/>
  <c r="Q8" i="22"/>
  <c r="V8" i="22"/>
  <c r="V15" i="22" l="1"/>
  <c r="V39" i="22" s="1"/>
  <c r="U8" i="22"/>
  <c r="F8" i="23" s="1"/>
  <c r="G8" i="23"/>
  <c r="Q15" i="22"/>
  <c r="S15" i="22"/>
  <c r="S39" i="22" s="1"/>
  <c r="O15" i="22"/>
  <c r="Q39" i="22" l="1"/>
  <c r="O39" i="22"/>
  <c r="M8" i="23"/>
  <c r="G15" i="23"/>
  <c r="G39" i="23" s="1"/>
  <c r="L8" i="23" l="1"/>
  <c r="M15" i="23"/>
  <c r="M39" i="23" s="1"/>
  <c r="S8" i="23" l="1"/>
  <c r="Q8" i="23"/>
  <c r="O8" i="23"/>
  <c r="V8" i="23"/>
  <c r="V15" i="23" l="1"/>
  <c r="V39" i="23" s="1"/>
  <c r="U8" i="23"/>
  <c r="F8" i="24" s="1"/>
  <c r="G8" i="24"/>
  <c r="O15" i="23"/>
  <c r="Q15" i="23"/>
  <c r="S15" i="23"/>
  <c r="S39" i="23" s="1"/>
  <c r="O39" i="23" l="1"/>
  <c r="Q39" i="23"/>
  <c r="H15" i="32"/>
  <c r="H39" i="32" s="1"/>
  <c r="M8" i="24"/>
  <c r="G15" i="24"/>
  <c r="G39" i="24" s="1"/>
  <c r="K15" i="32" l="1"/>
  <c r="K39" i="32"/>
  <c r="L8" i="32"/>
  <c r="M15" i="24"/>
  <c r="M39" i="24" s="1"/>
  <c r="L8" i="24"/>
  <c r="O8" i="24" l="1"/>
  <c r="S8" i="24"/>
  <c r="Q8" i="24"/>
  <c r="V8" i="24"/>
  <c r="Q15" i="24" l="1"/>
  <c r="V15" i="24"/>
  <c r="V39" i="24" s="1"/>
  <c r="U8" i="24"/>
  <c r="F8" i="25" s="1"/>
  <c r="G8" i="25"/>
  <c r="S15" i="24"/>
  <c r="S39" i="24" s="1"/>
  <c r="O15" i="24"/>
  <c r="Q39" i="24" l="1"/>
  <c r="O39" i="24"/>
  <c r="M8" i="25"/>
  <c r="G15" i="25"/>
  <c r="G39" i="25" s="1"/>
  <c r="L8" i="25" l="1"/>
  <c r="M15" i="25"/>
  <c r="M39" i="25" s="1"/>
  <c r="S8" i="25" l="1"/>
  <c r="Q8" i="25"/>
  <c r="P8" i="32" s="1"/>
  <c r="O8" i="25"/>
  <c r="V8" i="25"/>
  <c r="N15" i="32" l="1"/>
  <c r="N39" i="32" s="1"/>
  <c r="P15" i="32"/>
  <c r="P39" i="32" s="1"/>
  <c r="V15" i="25"/>
  <c r="V39" i="25" s="1"/>
  <c r="U8" i="25"/>
  <c r="F8" i="26" s="1"/>
  <c r="G8" i="26"/>
  <c r="O15" i="25"/>
  <c r="Q15" i="25"/>
  <c r="S15" i="25"/>
  <c r="S39" i="25" s="1"/>
  <c r="Q39" i="25" l="1"/>
  <c r="O39" i="25"/>
  <c r="R15" i="32"/>
  <c r="R39" i="32" s="1"/>
  <c r="T15" i="32"/>
  <c r="M8" i="26"/>
  <c r="G15" i="26"/>
  <c r="G39" i="26" s="1"/>
  <c r="T39" i="32" l="1"/>
  <c r="W15" i="32"/>
  <c r="L8" i="26"/>
  <c r="M15" i="26"/>
  <c r="M39" i="26" s="1"/>
  <c r="S8" i="26" l="1"/>
  <c r="Q8" i="26"/>
  <c r="O8" i="26"/>
  <c r="V8" i="26"/>
  <c r="V15" i="26" l="1"/>
  <c r="V39" i="26" s="1"/>
  <c r="U8" i="26"/>
  <c r="F8" i="27" s="1"/>
  <c r="G8" i="27"/>
  <c r="O15" i="26"/>
  <c r="Q15" i="26"/>
  <c r="S15" i="26"/>
  <c r="S39" i="26" s="1"/>
  <c r="Q39" i="26" l="1"/>
  <c r="O39" i="26"/>
  <c r="M8" i="27"/>
  <c r="G15" i="27"/>
  <c r="G39" i="27" s="1"/>
  <c r="L8" i="27" l="1"/>
  <c r="M15" i="27"/>
  <c r="M39" i="27" s="1"/>
  <c r="S8" i="27" l="1"/>
  <c r="Q8" i="27"/>
  <c r="O8" i="27"/>
  <c r="V8" i="27"/>
  <c r="O15" i="27" l="1"/>
  <c r="V15" i="27"/>
  <c r="V39" i="27" s="1"/>
  <c r="U8" i="27"/>
  <c r="F8" i="28" s="1"/>
  <c r="G8" i="28"/>
  <c r="Q15" i="27"/>
  <c r="S15" i="27"/>
  <c r="S39" i="27" s="1"/>
  <c r="Q39" i="27" l="1"/>
  <c r="O39" i="27"/>
  <c r="M8" i="28"/>
  <c r="G15" i="28"/>
  <c r="G39" i="28" s="1"/>
  <c r="M15" i="28" l="1"/>
  <c r="M39" i="28" s="1"/>
  <c r="L8" i="28"/>
  <c r="O8" i="28" l="1"/>
  <c r="S8" i="28"/>
  <c r="Q8" i="28"/>
  <c r="V8" i="28"/>
  <c r="V15" i="28" l="1"/>
  <c r="V39" i="28" s="1"/>
  <c r="U8" i="28"/>
  <c r="F8" i="29" s="1"/>
  <c r="G8" i="29"/>
  <c r="Q15" i="28"/>
  <c r="S15" i="28"/>
  <c r="S39" i="28" s="1"/>
  <c r="O15" i="28"/>
  <c r="Q39" i="28" l="1"/>
  <c r="O39" i="28"/>
  <c r="M8" i="29"/>
  <c r="G15" i="29"/>
  <c r="G39" i="29" s="1"/>
  <c r="M15" i="29" l="1"/>
  <c r="M39" i="29" s="1"/>
  <c r="L8" i="29"/>
  <c r="S8" i="29" l="1"/>
  <c r="Q8" i="29"/>
  <c r="O8" i="29"/>
  <c r="V8" i="29"/>
  <c r="O15" i="29" l="1"/>
  <c r="V15" i="29"/>
  <c r="V39" i="29" s="1"/>
  <c r="U8" i="29"/>
  <c r="F8" i="30" s="1"/>
  <c r="G8" i="30"/>
  <c r="Q15" i="29"/>
  <c r="S15" i="29"/>
  <c r="S39" i="29" s="1"/>
  <c r="Q39" i="29" l="1"/>
  <c r="O39" i="29"/>
  <c r="M8" i="30"/>
  <c r="G15" i="30"/>
  <c r="G39" i="30" s="1"/>
  <c r="L8" i="30" l="1"/>
  <c r="M15" i="30"/>
  <c r="M39" i="30" s="1"/>
  <c r="S8" i="30" l="1"/>
  <c r="Q8" i="30"/>
  <c r="O8" i="30"/>
  <c r="V8" i="30"/>
  <c r="V15" i="30" l="1"/>
  <c r="V39" i="30" s="1"/>
  <c r="U8" i="30"/>
  <c r="F8" i="31" s="1"/>
  <c r="G8" i="31"/>
  <c r="O15" i="30"/>
  <c r="Q15" i="30"/>
  <c r="S15" i="30"/>
  <c r="S39" i="30" s="1"/>
  <c r="O39" i="30" l="1"/>
  <c r="Q39" i="30"/>
  <c r="M8" i="31"/>
  <c r="G15" i="31"/>
  <c r="G39" i="31" s="1"/>
  <c r="M15" i="31" l="1"/>
  <c r="M39" i="31" s="1"/>
  <c r="L8" i="31"/>
  <c r="S8" i="31" s="1"/>
  <c r="S8" i="32" s="1"/>
  <c r="S9" i="32" l="1"/>
  <c r="Q8" i="31"/>
  <c r="O8" i="31"/>
  <c r="V8" i="31"/>
  <c r="U8" i="31" s="1"/>
  <c r="X9" i="32" l="1"/>
  <c r="Y9" i="32" s="1"/>
  <c r="V15" i="31"/>
  <c r="V39" i="31" s="1"/>
  <c r="S15" i="31"/>
  <c r="S39" i="31" s="1"/>
  <c r="S15" i="32"/>
  <c r="S39" i="32" s="1"/>
  <c r="C5" i="33" s="1"/>
  <c r="O15" i="31"/>
  <c r="Q15" i="31"/>
  <c r="Q8" i="32"/>
  <c r="Q39" i="31" l="1"/>
  <c r="Q14" i="32"/>
  <c r="Q15" i="32" s="1"/>
  <c r="Q39" i="32" s="1"/>
  <c r="O39" i="31"/>
  <c r="O14" i="32"/>
  <c r="D6" i="33"/>
  <c r="D7" i="33" s="1"/>
  <c r="C7" i="33"/>
  <c r="X8" i="32" l="1"/>
  <c r="Y8" i="32" s="1"/>
  <c r="X14" i="32"/>
  <c r="Y14" i="32" s="1"/>
  <c r="O15" i="32"/>
  <c r="O39" i="32" s="1"/>
  <c r="V15" i="32"/>
  <c r="X15" i="32" l="1"/>
  <c r="Y15" i="32" s="1"/>
  <c r="V18" i="32"/>
  <c r="X18" i="32" s="1"/>
  <c r="Y18" i="32" s="1"/>
  <c r="V39" i="32"/>
  <c r="U17" i="32"/>
  <c r="X17" i="32"/>
  <c r="Y17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986DBEBA-1A78-4C3E-9C29-D6CDE48F3FB7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#109
bill: 001640
1 btl
Pay ABA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76A396BD-771C-4247-8815-4B6693F2FD71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#102
bill: 001641
2 btls
Pay ABA
#110
bill: 001642
1 btls
Pay CASH
#209
bill: 001643
1 btl
Pay CASH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D088DCC1-C842-4179-AE69-BD4DAFC2301B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#110
bill: 001643
1 can
Pay ABA
#106
bill: 001645
2 cans
Pay ABA</t>
        </r>
      </text>
    </comment>
    <comment ref="R10" authorId="0" shapeId="0" xr:uid="{E05C4420-A034-4D12-B2DC-8DA3DDE688AE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001645
1 cans
Pay ABA</t>
        </r>
      </text>
    </comment>
    <comment ref="R12" authorId="0" shapeId="0" xr:uid="{729FD059-A177-497B-8A56-5CAEB03FEE0E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001645
1 cans
Pay ABA</t>
        </r>
      </text>
    </comment>
    <comment ref="R14" authorId="0" shapeId="0" xr:uid="{CBDD3BE3-0410-4050-94A4-17F775F0B0AC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001645
2 cans
Pay ABA</t>
        </r>
      </text>
    </comment>
    <comment ref="R17" authorId="0" shapeId="0" xr:uid="{5443E7A5-12B9-4842-BF2B-DC079163018A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#110
bill: 001644
1 btls
Pay ABA
#106
bill: 001645
2 btls
Pay ABA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A7125F4D-4F32-4DC2-9FA2-19FBC634664D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#307
bill: 001646
1 b
Pay ABA</t>
        </r>
      </text>
    </comment>
    <comment ref="R20" authorId="0" shapeId="0" xr:uid="{0EE6AB99-FB76-4712-B7AC-143F5651EA70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#109
bill: 001647
1 C
Pay ABA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B540B3E9-DA47-46DB-8A12-F200DF41578A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#301
bill: 001648
1 C
Pay ABA</t>
        </r>
      </text>
    </comment>
    <comment ref="R17" authorId="0" shapeId="0" xr:uid="{E658FC28-D6EF-4594-949D-22F42C386C88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#301
bill: 001648
1 B
Pay ABA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639163D7-883A-4B2A-BF28-3B9764162ACE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001649
2 C
Pay cash
#109
bill: 001650
1 C
Pay ABA
#110
bill: 001655
2 C
Pay ABA</t>
        </r>
      </text>
    </comment>
    <comment ref="R11" authorId="0" shapeId="0" xr:uid="{7E9EE7F5-3708-4203-96EC-B4B192243B67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#110
bill: 001655
2 C
Pay ABA</t>
        </r>
      </text>
    </comment>
    <comment ref="R14" authorId="0" shapeId="0" xr:uid="{6DCF56ED-CFC3-44D9-807D-707D07584C4B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001649
1 C
Pay cash</t>
        </r>
      </text>
    </comment>
    <comment ref="R17" authorId="0" shapeId="0" xr:uid="{8DE6BFE2-211F-4B2A-B8F0-D78A69DCA1D7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#110
bill: 001655
2 B
Pay ABA</t>
        </r>
      </text>
    </comment>
    <comment ref="R20" authorId="0" shapeId="0" xr:uid="{B5BBC1AE-FD9C-4AB7-9A14-56249C6BAC38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001649
2 C
Pay cash</t>
        </r>
      </text>
    </comment>
    <comment ref="R21" authorId="0" shapeId="0" xr:uid="{0E564E23-2BC7-4975-BE94-B6B4180BC8FD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001649
2 C
Pay cash
#110
bill: 001655
1 C
Pay ABA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7FCA27C2-BBC3-4B5F-B39F-91D5C8D6B24D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001653
2 C
Pay ABA
#107
bill: 001659
2 C
Pay ABA
#110
bill: 001660
1 C
Pay Cash</t>
        </r>
      </text>
    </comment>
    <comment ref="R10" authorId="0" shapeId="0" xr:uid="{30BE1A8B-0F1B-438A-AC95-C2B960A22B2E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001653
2 C
Pay ABA</t>
        </r>
      </text>
    </comment>
    <comment ref="R14" authorId="0" shapeId="0" xr:uid="{9D596BB0-AE40-4683-84D0-27B11277F0BC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#107
bill: 001659
 1 C
Pay ABA</t>
        </r>
      </text>
    </comment>
    <comment ref="R17" authorId="0" shapeId="0" xr:uid="{EFBBC911-F09E-4FE7-B4C1-CFB5190C5BB1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001653
2 B
Pay ABA
#107
bill: 001659
2 B
Pay ABA</t>
        </r>
      </text>
    </comment>
    <comment ref="R20" authorId="0" shapeId="0" xr:uid="{5B596029-E729-45DB-B2A3-72BFAA226114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001653
2 C
Pay ABA</t>
        </r>
      </text>
    </comment>
    <comment ref="R21" authorId="0" shapeId="0" xr:uid="{54932D3C-3978-4CB8-A96C-65711151198E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#108
bill: 001657
1 C
Pay cash
#110
bill: 001660
2 C
Pay Cash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3" authorId="0" shapeId="0" xr:uid="{1B1B412A-1708-4EA5-B7C9-8366AC7E2DF3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#109
bill: 001663
1 B
Pay ABA</t>
        </r>
      </text>
    </comment>
    <comment ref="R17" authorId="0" shapeId="0" xr:uid="{C2ADBBFD-7100-480B-ABCC-E457A64E1C40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#111
bill: 001661
1 B
Pay ABA
#301
bill: 001662
2 B
Pay ABA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3" authorId="0" shapeId="0" xr:uid="{02A16215-9FFE-462A-A0FF-8AA55C893F3E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#307
bill: 001665
1 c
Pay ABA</t>
        </r>
      </text>
    </comment>
    <comment ref="R17" authorId="0" shapeId="0" xr:uid="{9F9BE76F-9E9E-45D0-81B9-DB95125873E6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#307
bill: 001665
1 B
Pay ABA</t>
        </r>
      </text>
    </comment>
    <comment ref="R20" authorId="0" shapeId="0" xr:uid="{349B0C07-2A2F-4236-B32A-B2A0C7D9254B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#301
bill: 001664
1 c
Pay ABA
#307
bill: 001665
2 c
Pay ABA</t>
        </r>
      </text>
    </comment>
    <comment ref="R21" authorId="0" shapeId="0" xr:uid="{AE61414B-EA3E-4BA8-937C-C6CFBC5A3C05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#301
bill: 001664
1 c
Pay ABA
#307
bill: 001665
2 c
Pay ABA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C869D464-783B-4234-9B53-80860D8AF062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#110
bill: 001666
2 c
Pay Cash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0C09731B-8045-4477-9B08-1E2A16711A20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#111
bill: 001656
1 C
Pay ABA
#301
bill: 001667
4 c
Pay ABA</t>
        </r>
      </text>
    </comment>
    <comment ref="R12" authorId="0" shapeId="0" xr:uid="{372906C3-A4F8-4C17-ABC9-7809DFE7E880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#Poolside
bill: 001507
3 C
Pay by ABA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E9077CA7-30F1-4492-A593-9B3721C514E7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#109
bill: 001668
1 c
Pay Cash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2" authorId="0" shapeId="0" xr:uid="{607D084E-9868-4039-810D-2235E82CBC1F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#111
bill: 001669
1 c
Pay Cash</t>
        </r>
      </text>
    </comment>
    <comment ref="R17" authorId="0" shapeId="0" xr:uid="{6391F77C-A772-4E3E-88ED-9163971DE670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#111
bill: 001669
1 B
Pay Cash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21" authorId="0" shapeId="0" xr:uid="{327F7037-B68A-4E3E-ABBD-FE9420968955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001670
2 c
Pay ABA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2" authorId="0" shapeId="0" xr:uid="{A2ADCBCF-4DC7-4C65-A030-FBCE5293623A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#307
bill: 001671
3 c
Pay Cash</t>
        </r>
      </text>
    </comment>
    <comment ref="R20" authorId="0" shapeId="0" xr:uid="{93B52426-E271-46FE-872E-C3D4FF39DD4D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#307
bill: 001671
1 c
Pay Cash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21" authorId="0" shapeId="0" xr:uid="{63358001-CD97-427C-A8F3-A427AB3B1676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#109
bill: 001672
1 c
Pay Cash
#107
bill: 001673
1 c
Pay ABA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N8" authorId="0" shapeId="0" xr:uid="{4367F421-9A02-438D-997D-C8B90D0F6F08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#102
bill: 001674
2 c
FOC TO HOHR</t>
        </r>
      </text>
    </comment>
    <comment ref="N12" authorId="0" shapeId="0" xr:uid="{94EA862C-8669-44EE-BC73-C87FF2DB98E5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#102
bill: 001674
2 c
FOC TO HOHR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8" authorId="0" shapeId="0" xr:uid="{72E50491-4CCC-4067-93AE-F04EA1BD48E5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001675
1 c
Pay by ABA</t>
        </r>
      </text>
    </comment>
    <comment ref="R11" authorId="0" shapeId="0" xr:uid="{F9BC6D79-7708-43AF-8D5E-19A0BDE61FBD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#106
bill: 001675
2 c
Pay by ABA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AAE52A6B-B144-475F-B7C7-D13CB68EB0F5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#102
bill: 001676
2 B
Pay by ABA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B2393DA6-A63A-4861-8384-F4114601A1FA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001677
1 B
Pay by ABA
#307
bill: 001678
2 C
Pay by Cash
#106
bill: 001679
2 C
Pay by Cash
#107
bill: 001680
2 C
Pay by Cash</t>
        </r>
      </text>
    </comment>
    <comment ref="R20" authorId="0" shapeId="0" xr:uid="{2B0A5631-52D0-4279-A934-86B9974E3296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001677
2 C
Pay by ABA</t>
        </r>
      </text>
    </comment>
    <comment ref="R21" authorId="0" shapeId="0" xr:uid="{6710490B-CBA6-41C4-9DDC-B9E5B35C512B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#209
bill: 001677
2 C
Pay by ABA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778A3321-5936-4AEF-9854-0B643942A272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#102
bill: 001681
2 B
Pay by ABA
#202
bill: 001682
1 B
Pay by ABA
#209
bill: 001683
2 C
Pay by Cash
#107
bill: 001684
1 C
Pay by ABA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Operations</author>
  </authors>
  <commentList>
    <comment ref="R17" authorId="0" shapeId="0" xr:uid="{7CC6AED2-DCCF-4430-8690-2C7382740622}">
      <text>
        <r>
          <rPr>
            <b/>
            <sz val="9"/>
            <color indexed="81"/>
            <rFont val="Tahoma"/>
            <charset val="1"/>
          </rPr>
          <t>Operations:</t>
        </r>
        <r>
          <rPr>
            <sz val="9"/>
            <color indexed="81"/>
            <rFont val="Tahoma"/>
            <charset val="1"/>
          </rPr>
          <t xml:space="preserve">
#307
bill: 001685
1 B
Pay by ABA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<sst xmlns="http://schemas.openxmlformats.org/spreadsheetml/2006/main" count="1949" uniqueCount="75">
  <si>
    <t>Nº</t>
  </si>
  <si>
    <t>Item Name</t>
  </si>
  <si>
    <t xml:space="preserve">English </t>
  </si>
  <si>
    <t xml:space="preserve">Khmer </t>
  </si>
  <si>
    <t>Opening</t>
  </si>
  <si>
    <t>ដើមគ្រា</t>
  </si>
  <si>
    <t>Request</t>
  </si>
  <si>
    <t>បើកចូល</t>
  </si>
  <si>
    <t>In Stock</t>
  </si>
  <si>
    <t>ទំនិញមានក្នុងស្តុក</t>
  </si>
  <si>
    <t>Transfer out</t>
  </si>
  <si>
    <t>ផ្ទេរចេញ</t>
  </si>
  <si>
    <t>Cost of FOC</t>
  </si>
  <si>
    <t>ថ្លៃដើមព្រី</t>
  </si>
  <si>
    <t>Cost of Sale</t>
  </si>
  <si>
    <t>ថ្លៃដើមលក់</t>
  </si>
  <si>
    <t>Closing</t>
  </si>
  <si>
    <t>ចុងគ្រា</t>
  </si>
  <si>
    <t xml:space="preserve">Soft Drink </t>
  </si>
  <si>
    <t>Cocacola Classic 330ml (24cans)</t>
  </si>
  <si>
    <t>Cocacola Zero 330ml (24cans)</t>
  </si>
  <si>
    <t>Cocacola Light 330ml (24cans)</t>
  </si>
  <si>
    <t>Sprite 330ml (24cans)</t>
  </si>
  <si>
    <t>Schweppes Soda Water 330ml (24cans)</t>
  </si>
  <si>
    <t>Schweppes Tonic Water 330ml (24cans)</t>
  </si>
  <si>
    <t>Schweppes Ginger Ale 330ml (24cans)</t>
  </si>
  <si>
    <t>Dasani 500ml (24 Btl)</t>
  </si>
  <si>
    <t xml:space="preserve">Water </t>
  </si>
  <si>
    <t>TOTAL SOFT DRINK</t>
  </si>
  <si>
    <t xml:space="preserve">TOTAL Water </t>
  </si>
  <si>
    <t>Beer</t>
  </si>
  <si>
    <t>TOTAL BEER</t>
  </si>
  <si>
    <t xml:space="preserve">Grand TOTAL </t>
  </si>
  <si>
    <t>Qtt</t>
  </si>
  <si>
    <t>U.P</t>
  </si>
  <si>
    <t>Amount</t>
  </si>
  <si>
    <t xml:space="preserve">Cost of Goods Sold </t>
  </si>
  <si>
    <t>Date</t>
  </si>
  <si>
    <t>Account Nº</t>
  </si>
  <si>
    <t>Account Code</t>
  </si>
  <si>
    <t>Debit</t>
  </si>
  <si>
    <t>Credit</t>
  </si>
  <si>
    <t>Remarks</t>
  </si>
  <si>
    <t>TOTAL</t>
  </si>
  <si>
    <t>ថ្លៃដើម</t>
  </si>
  <si>
    <t>Lost /Spoil</t>
  </si>
  <si>
    <t>ខូច/បាត់</t>
  </si>
  <si>
    <t>Par Stock</t>
  </si>
  <si>
    <t xml:space="preserve">Checked By </t>
  </si>
  <si>
    <t>Acknowledge By:</t>
  </si>
  <si>
    <t>Prepared By:</t>
  </si>
  <si>
    <t>…........./……....../…...........</t>
  </si>
  <si>
    <t xml:space="preserve">Daily </t>
  </si>
  <si>
    <t xml:space="preserve">Monthly </t>
  </si>
  <si>
    <t xml:space="preserve">Amount </t>
  </si>
  <si>
    <t>Qty</t>
  </si>
  <si>
    <t xml:space="preserve">Sale Report </t>
  </si>
  <si>
    <t xml:space="preserve">TIGER BEER 330ml CAN </t>
  </si>
  <si>
    <t>Heineken 330ml CAN</t>
  </si>
  <si>
    <t>ភេសជ្ជៈ</t>
  </si>
  <si>
    <t>កូកា ក្លាស៊ិក (កំប៉ុង៣៣០មម)</t>
  </si>
  <si>
    <t>កូកា សេរ៉ូ (កំប៉ុង៣៣០មម)</t>
  </si>
  <si>
    <t>កូកា ឡៃ (កំប៉ុង៣៣០មម)</t>
  </si>
  <si>
    <t>ស្ព្រៃ (កំប៉ុង៣៣០មម)</t>
  </si>
  <si>
    <t>ទឹកសូដា (កំប៉ុង៣៣០មម)</t>
  </si>
  <si>
    <t>ទឹកតូនិច (កំប៉ុង៣៣០មម)</t>
  </si>
  <si>
    <t>ទឹក Ginger ale (កំប៉ុង៣៣០មម)</t>
  </si>
  <si>
    <t>ស្រាបៀរថៃហ្គ័រ (កំប៉ុង ៣៣០មល)</t>
  </si>
  <si>
    <t>ស្រាបៀរហេន័រឃិន (កំប៉ុង ៣៣០មល)</t>
  </si>
  <si>
    <t>REFILLING REQUIRED</t>
  </si>
  <si>
    <t>Consumption</t>
  </si>
  <si>
    <t>COGs - Food &amp; Beverage</t>
  </si>
  <si>
    <t>Inventory Beverage</t>
  </si>
  <si>
    <t>Stock Inventory Report of JULY 2026</t>
  </si>
  <si>
    <t>Stock Inventory Report of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</si>
</sst>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[$-409]d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9"/>
      <color theme="1"/>
      <name val="Times New Roman"/>
      <family val="1"/>
    </font>
    <font>
      <b/>
      <sz val="11"/>
      <color rgb="FFC00000"/>
      <name val="Times New Roman"/>
      <family val="1"/>
    </font>
    <font>
      <sz val="11"/>
      <color rgb="FFC00000"/>
      <name val="Times New Roman"/>
      <family val="1"/>
    </font>
    <font>
      <b/>
      <sz val="11"/>
      <color indexed="60"/>
      <name val="Times New Roman"/>
      <family val="1"/>
    </font>
    <font>
      <b/>
      <sz val="16"/>
      <color rgb="FFC00000"/>
      <name val="Times New Roman"/>
      <family val="1"/>
    </font>
    <font>
      <sz val="16"/>
      <color rgb="FFC00000"/>
      <name val="Times New Roman"/>
      <family val="1"/>
    </font>
    <font>
      <sz val="11"/>
      <color theme="3" tint="-0.499984740745262"/>
      <name val="Calibri"/>
      <family val="2"/>
      <scheme val="minor"/>
    </font>
    <font>
      <b/>
      <sz val="24"/>
      <color theme="1"/>
      <name val="Times New Roman"/>
      <family val="1"/>
    </font>
    <font>
      <sz val="11"/>
      <color theme="0" tint="-0.34998626667073579"/>
      <name val="Times New Roman"/>
      <family val="1"/>
    </font>
    <font>
      <b/>
      <sz val="11"/>
      <color theme="1"/>
      <name val="!Khmer OS Battambang"/>
    </font>
    <font>
      <sz val="10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/>
      <top/>
      <bottom style="dashed">
        <color theme="1"/>
      </bottom>
      <diagonal/>
    </border>
    <border>
      <left style="dashed">
        <color theme="1"/>
      </left>
      <right/>
      <top/>
      <bottom/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4" fontId="2" fillId="0" borderId="0" xfId="1" applyFont="1"/>
    <xf numFmtId="0" fontId="6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44" fontId="9" fillId="0" borderId="2" xfId="1" applyFont="1" applyBorder="1" applyAlignment="1">
      <alignment vertical="center"/>
    </xf>
    <xf numFmtId="44" fontId="9" fillId="0" borderId="3" xfId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44" fontId="2" fillId="0" borderId="0" xfId="1" applyFont="1" applyAlignment="1">
      <alignment horizontal="center"/>
    </xf>
    <xf numFmtId="0" fontId="2" fillId="0" borderId="0" xfId="1" applyNumberFormat="1" applyFont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4" fontId="2" fillId="0" borderId="5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44" fontId="2" fillId="0" borderId="4" xfId="1" applyFont="1" applyFill="1" applyBorder="1"/>
    <xf numFmtId="44" fontId="2" fillId="0" borderId="4" xfId="0" applyNumberFormat="1" applyFont="1" applyBorder="1"/>
    <xf numFmtId="44" fontId="2" fillId="0" borderId="4" xfId="1" applyFont="1" applyFill="1" applyBorder="1" applyAlignment="1">
      <alignment horizontal="center"/>
    </xf>
    <xf numFmtId="0" fontId="2" fillId="0" borderId="4" xfId="1" applyNumberFormat="1" applyFont="1" applyFill="1" applyBorder="1" applyAlignment="1">
      <alignment horizontal="center"/>
    </xf>
    <xf numFmtId="44" fontId="6" fillId="2" borderId="4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2" fillId="0" borderId="0" xfId="1" applyFont="1" applyFill="1"/>
    <xf numFmtId="0" fontId="14" fillId="0" borderId="0" xfId="0" applyFont="1"/>
    <xf numFmtId="0" fontId="13" fillId="0" borderId="0" xfId="0" applyFont="1" applyAlignment="1">
      <alignment horizontal="center"/>
    </xf>
    <xf numFmtId="44" fontId="2" fillId="0" borderId="0" xfId="0" applyNumberFormat="1" applyFont="1"/>
    <xf numFmtId="44" fontId="14" fillId="0" borderId="0" xfId="0" applyNumberFormat="1" applyFont="1"/>
    <xf numFmtId="44" fontId="13" fillId="0" borderId="0" xfId="0" applyNumberFormat="1" applyFont="1"/>
    <xf numFmtId="44" fontId="15" fillId="0" borderId="0" xfId="0" applyNumberFormat="1" applyFont="1"/>
    <xf numFmtId="0" fontId="1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Fill="1" applyAlignment="1">
      <alignment horizontal="center"/>
    </xf>
    <xf numFmtId="0" fontId="6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1" applyNumberFormat="1" applyFont="1" applyFill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0" borderId="7" xfId="0" applyFont="1" applyBorder="1"/>
    <xf numFmtId="0" fontId="18" fillId="0" borderId="3" xfId="0" applyFont="1" applyBorder="1" applyAlignment="1">
      <alignment vertical="center"/>
    </xf>
    <xf numFmtId="0" fontId="2" fillId="2" borderId="4" xfId="0" applyFont="1" applyFill="1" applyBorder="1"/>
    <xf numFmtId="0" fontId="19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Fill="1" applyBorder="1"/>
    <xf numFmtId="0" fontId="0" fillId="0" borderId="4" xfId="0" applyFont="1" applyBorder="1"/>
    <xf numFmtId="0" fontId="0" fillId="2" borderId="4" xfId="0" applyFont="1" applyFill="1" applyBorder="1"/>
    <xf numFmtId="0" fontId="0" fillId="0" borderId="4" xfId="0" applyFont="1" applyFill="1" applyBorder="1"/>
    <xf numFmtId="0" fontId="6" fillId="2" borderId="8" xfId="0" applyFont="1" applyFill="1" applyBorder="1" applyAlignment="1">
      <alignment horizontal="center" vertical="center"/>
    </xf>
    <xf numFmtId="44" fontId="2" fillId="0" borderId="8" xfId="1" applyFont="1" applyFill="1" applyBorder="1" applyAlignment="1">
      <alignment horizontal="center"/>
    </xf>
    <xf numFmtId="44" fontId="6" fillId="2" borderId="8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0" applyFont="1" applyBorder="1"/>
    <xf numFmtId="44" fontId="2" fillId="0" borderId="3" xfId="1" applyFont="1" applyFill="1" applyBorder="1" applyAlignment="1">
      <alignment horizontal="center"/>
    </xf>
    <xf numFmtId="44" fontId="2" fillId="0" borderId="3" xfId="0" applyNumberFormat="1" applyFont="1" applyBorder="1"/>
    <xf numFmtId="44" fontId="20" fillId="0" borderId="3" xfId="1" applyFont="1" applyFill="1" applyBorder="1" applyAlignment="1">
      <alignment horizontal="center"/>
    </xf>
    <xf numFmtId="44" fontId="20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1" fillId="3" borderId="3" xfId="0" applyFont="1" applyFill="1" applyBorder="1" applyAlignment="1">
      <alignment vertical="center"/>
    </xf>
    <xf numFmtId="44" fontId="11" fillId="3" borderId="3" xfId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44" fontId="8" fillId="4" borderId="3" xfId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49" fontId="22" fillId="0" borderId="3" xfId="0" applyNumberFormat="1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5" fontId="2" fillId="0" borderId="5" xfId="1" applyNumberFormat="1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38101</xdr:rowOff>
    </xdr:from>
    <xdr:to>
      <xdr:col>1</xdr:col>
      <xdr:colOff>1645785</xdr:colOff>
      <xdr:row>4</xdr:row>
      <xdr:rowOff>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681C7-6F29-4E4D-88C3-02DAEA4B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8101"/>
          <a:ext cx="1855335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1851933</xdr:colOff>
      <xdr:row>3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9A9748-D31A-442A-9739-EF1DC415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0</xdr:rowOff>
    </xdr:from>
    <xdr:to>
      <xdr:col>1</xdr:col>
      <xdr:colOff>1851933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D79D7-FD2A-4074-9C9C-A08FF712C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0CAE5-9247-494E-8569-E1153DFA1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B0DD1-4074-427D-BE77-F70E464CB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8A166-9DB4-4550-BBC1-5CB00545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B010A-2133-40C1-B279-6F05CD9E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48E3E-EFE9-4BA3-A774-38779718A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41CAB-B182-462E-82BC-BDE51D01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6819A-C5CD-42C4-99BD-897AB6FD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E60F4-1D1B-4931-9D76-CA9D355CC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8DA2AE-D175-459C-A806-DAD582A9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94381-3B7E-4E05-A1C9-66228C15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664DE-0D72-439B-B502-255EA7E0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63CE5-A208-446D-9967-A094E8C9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5552C-4FB2-4352-83A0-A8CEE024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8EE67-396A-4BE1-8B46-44892786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58134-3B95-4DB9-BE4F-A9F23B384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E9A88-6EB6-42E6-8416-6945BF078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3604F-8CD3-469B-8041-DF764B52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D9265-2AC4-4FFD-B0AC-E66923D08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EC87A-7018-4B4D-9DA1-08E495F7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E516A-088E-45FB-A792-50D0694C7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5AB68-4D54-4014-9581-05CBD151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81F62-DC82-4A78-A30D-C39B9AF8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039DD-E15A-4C71-A886-EF14B6D6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EAC78-1B82-4C06-902D-5827AE2AD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53CB3-961C-4049-A0C5-18261573D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EB897-C1F3-4BB6-82BE-77F962C46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1851933</xdr:colOff>
      <xdr:row>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BCE5A-D54A-40B9-B533-A3660D155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1851933</xdr:colOff>
      <xdr:row>3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90D80-7C71-4EC0-8B51-814A44009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1851933</xdr:colOff>
      <xdr:row>4</xdr:row>
      <xdr:rowOff>39571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0C058-EB2F-4606-BBD9-E97B6055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2061483" cy="9525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0</xdr:rowOff>
    </xdr:from>
    <xdr:to>
      <xdr:col>1</xdr:col>
      <xdr:colOff>612039</xdr:colOff>
      <xdr:row>1</xdr:row>
      <xdr:rowOff>321483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3A7F0-6BAB-42FA-BD88-B6EFB2AF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0"/>
          <a:ext cx="1482625" cy="687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9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7F8D-6670-4335-9D27-316A7CF53799}">
  <sheetPr>
    <tabColor rgb="FF00B0F0"/>
  </sheetPr>
  <dimension ref="A2:AB47"/>
  <sheetViews>
    <sheetView view="pageBreakPreview" zoomScale="89" zoomScaleNormal="100" zoomScaleSheetLayoutView="100" workbookViewId="0">
      <pane xSplit="7" ySplit="6" topLeftCell="O7" activePane="bottomRight" state="frozen"/>
      <selection activeCell="J11" sqref="J11"/>
      <selection pane="topRight" activeCell="J11" sqref="J11"/>
      <selection pane="bottomLeft" activeCell="J11" sqref="J11"/>
      <selection pane="bottomRight" activeCell="E22" sqref="E22"/>
    </sheetView>
  </sheetViews>
  <sheetFormatPr defaultColWidth="9.109375" defaultRowHeight="13.8" x14ac:dyDescent="0.25"/>
  <cols>
    <col min="1" max="1" width="4.5546875" style="2" customWidth="1"/>
    <col min="2" max="2" width="34.33203125" style="1" bestFit="1" customWidth="1"/>
    <col min="3" max="3" width="31.88671875" style="1" customWidth="1"/>
    <col min="4" max="4" width="5.5546875" style="1" customWidth="1"/>
    <col min="5" max="5" width="6.6640625" style="2" customWidth="1"/>
    <col min="6" max="6" width="7.33203125" style="4" customWidth="1"/>
    <col min="7" max="7" width="9.88671875" style="1" bestFit="1" customWidth="1"/>
    <col min="8" max="8" width="6.5546875" style="1" customWidth="1"/>
    <col min="9" max="9" width="9.109375" style="4"/>
    <col min="10" max="10" width="9.109375" style="1"/>
    <col min="11" max="11" width="7.33203125" style="2" customWidth="1"/>
    <col min="12" max="12" width="9.109375" style="4" customWidth="1"/>
    <col min="13" max="13" width="10.5546875" style="1" customWidth="1"/>
    <col min="14" max="14" width="6" style="1" customWidth="1"/>
    <col min="15" max="15" width="9.109375" style="4"/>
    <col min="16" max="16" width="7.109375" style="1" hidden="1" customWidth="1"/>
    <col min="17" max="17" width="4.88671875" style="4" hidden="1" customWidth="1"/>
    <col min="18" max="18" width="6.33203125" style="1" customWidth="1"/>
    <col min="19" max="19" width="8.109375" style="4" bestFit="1" customWidth="1"/>
    <col min="20" max="20" width="6.5546875" style="1" customWidth="1"/>
    <col min="21" max="21" width="9.109375" style="4"/>
    <col min="22" max="22" width="9.88671875" style="4" bestFit="1" customWidth="1"/>
    <col min="23" max="23" width="9.109375" style="1"/>
    <col min="24" max="24" width="26.88671875" style="1" customWidth="1"/>
    <col min="25" max="25" width="6" style="1" customWidth="1"/>
    <col min="26" max="26" width="10.5546875" style="1" customWidth="1"/>
    <col min="27" max="27" width="6.33203125" style="1" customWidth="1"/>
    <col min="28" max="16384" width="9.109375" style="1"/>
  </cols>
  <sheetData>
    <row r="2" spans="1:28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8" x14ac:dyDescent="0.25">
      <c r="S4" s="4" t="s">
        <v>37</v>
      </c>
      <c r="T4" s="79">
        <v>45839</v>
      </c>
      <c r="U4" s="79"/>
      <c r="V4" s="79"/>
    </row>
    <row r="5" spans="1:28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81" t="s">
        <v>4</v>
      </c>
      <c r="F5" s="81"/>
      <c r="G5" s="81"/>
      <c r="H5" s="81" t="s">
        <v>6</v>
      </c>
      <c r="I5" s="81"/>
      <c r="J5" s="81"/>
      <c r="K5" s="81" t="s">
        <v>8</v>
      </c>
      <c r="L5" s="81"/>
      <c r="M5" s="81"/>
      <c r="N5" s="81" t="s">
        <v>45</v>
      </c>
      <c r="O5" s="81" t="s">
        <v>10</v>
      </c>
      <c r="P5" s="81" t="s">
        <v>12</v>
      </c>
      <c r="Q5" s="81" t="s">
        <v>14</v>
      </c>
      <c r="R5" s="81" t="s">
        <v>70</v>
      </c>
      <c r="S5" s="81" t="s">
        <v>14</v>
      </c>
      <c r="T5" s="81" t="s">
        <v>16</v>
      </c>
      <c r="U5" s="81"/>
      <c r="V5" s="81"/>
      <c r="W5" s="72" t="s">
        <v>56</v>
      </c>
      <c r="X5" s="73"/>
      <c r="Y5" s="73"/>
      <c r="Z5" s="73"/>
      <c r="AA5" s="73"/>
      <c r="AB5" s="73"/>
    </row>
    <row r="6" spans="1:28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44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8" s="3" customFormat="1" ht="16.5" customHeight="1" x14ac:dyDescent="0.3">
      <c r="A7" s="5"/>
      <c r="B7" s="5" t="s">
        <v>18</v>
      </c>
      <c r="C7" s="5"/>
      <c r="D7" s="5"/>
      <c r="E7" s="23" t="s">
        <v>33</v>
      </c>
      <c r="F7" s="23" t="s">
        <v>34</v>
      </c>
      <c r="G7" s="23" t="s">
        <v>35</v>
      </c>
      <c r="H7" s="23" t="s">
        <v>33</v>
      </c>
      <c r="I7" s="23" t="s">
        <v>34</v>
      </c>
      <c r="J7" s="23" t="s">
        <v>35</v>
      </c>
      <c r="K7" s="23" t="s">
        <v>33</v>
      </c>
      <c r="L7" s="23" t="s">
        <v>34</v>
      </c>
      <c r="M7" s="23" t="s">
        <v>35</v>
      </c>
      <c r="N7" s="23" t="s">
        <v>33</v>
      </c>
      <c r="O7" s="23" t="s">
        <v>35</v>
      </c>
      <c r="P7" s="23" t="s">
        <v>33</v>
      </c>
      <c r="Q7" s="23" t="s">
        <v>35</v>
      </c>
      <c r="R7" s="23" t="s">
        <v>15</v>
      </c>
      <c r="S7" s="23" t="s">
        <v>35</v>
      </c>
      <c r="T7" s="23" t="s">
        <v>33</v>
      </c>
      <c r="U7" s="23" t="s">
        <v>34</v>
      </c>
      <c r="V7" s="23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8" ht="15" customHeight="1" x14ac:dyDescent="0.3">
      <c r="A8" s="16">
        <v>1</v>
      </c>
      <c r="B8" s="17" t="s">
        <v>19</v>
      </c>
      <c r="C8" s="47" t="s">
        <v>60</v>
      </c>
      <c r="D8" s="16">
        <v>48</v>
      </c>
      <c r="E8" s="16">
        <v>1</v>
      </c>
      <c r="F8" s="18">
        <f t="shared" ref="F8:F14" si="0">8.7/24</f>
        <v>0.36249999999999999</v>
      </c>
      <c r="G8" s="18">
        <f t="shared" ref="G8:G14" si="1">+E8*F8</f>
        <v>0.36249999999999999</v>
      </c>
      <c r="H8" s="17"/>
      <c r="I8" s="18"/>
      <c r="J8" s="18">
        <f t="shared" ref="J8:J14" si="2">+H8*I8</f>
        <v>0</v>
      </c>
      <c r="K8" s="16">
        <f t="shared" ref="K8:K14" si="3">+E8+H8</f>
        <v>1</v>
      </c>
      <c r="L8" s="19">
        <f t="shared" ref="L8:L14" si="4">IF(K8=0,,M8/K8)</f>
        <v>0.36249999999999999</v>
      </c>
      <c r="M8" s="19">
        <f t="shared" ref="M8:M14" si="5">+J8+G8</f>
        <v>0.36249999999999999</v>
      </c>
      <c r="N8" s="17"/>
      <c r="O8" s="18">
        <f t="shared" ref="O8:O14" si="6">+L8*N8</f>
        <v>0</v>
      </c>
      <c r="P8" s="17"/>
      <c r="Q8" s="18">
        <f>+P8*L8</f>
        <v>0</v>
      </c>
      <c r="R8" s="17"/>
      <c r="S8" s="18">
        <f>+R8*L8</f>
        <v>0</v>
      </c>
      <c r="T8" s="17">
        <f>+K8-N8-P8-R8</f>
        <v>1</v>
      </c>
      <c r="U8" s="18">
        <f>IF(T8=0,,V8/T8)</f>
        <v>0.36249999999999999</v>
      </c>
      <c r="V8" s="18">
        <f>+T8*L8</f>
        <v>0.36249999999999999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8">
        <f>+Y8</f>
        <v>0</v>
      </c>
      <c r="AB8" s="30">
        <f>+Z8</f>
        <v>0</v>
      </c>
    </row>
    <row r="9" spans="1:28" ht="15" customHeight="1" x14ac:dyDescent="0.3">
      <c r="A9" s="16">
        <f t="shared" ref="A9:A14" si="8">+A8+1</f>
        <v>2</v>
      </c>
      <c r="B9" s="17" t="s">
        <v>20</v>
      </c>
      <c r="C9" s="47" t="s">
        <v>61</v>
      </c>
      <c r="D9" s="16">
        <v>48</v>
      </c>
      <c r="E9" s="16">
        <v>18</v>
      </c>
      <c r="F9" s="18">
        <f t="shared" si="0"/>
        <v>0.36249999999999999</v>
      </c>
      <c r="G9" s="18">
        <f t="shared" si="1"/>
        <v>6.5249999999999995</v>
      </c>
      <c r="H9" s="17"/>
      <c r="I9" s="18"/>
      <c r="J9" s="18">
        <f t="shared" si="2"/>
        <v>0</v>
      </c>
      <c r="K9" s="16">
        <f t="shared" si="3"/>
        <v>18</v>
      </c>
      <c r="L9" s="19">
        <f t="shared" si="4"/>
        <v>0.36249999999999999</v>
      </c>
      <c r="M9" s="19">
        <f t="shared" si="5"/>
        <v>6.5249999999999995</v>
      </c>
      <c r="N9" s="17"/>
      <c r="O9" s="18">
        <f t="shared" si="6"/>
        <v>0</v>
      </c>
      <c r="P9" s="17"/>
      <c r="Q9" s="18">
        <f t="shared" ref="Q9:Q14" si="9">+P9*L9</f>
        <v>0</v>
      </c>
      <c r="R9" s="17"/>
      <c r="S9" s="18">
        <f>+R9*L9</f>
        <v>0</v>
      </c>
      <c r="T9" s="17">
        <f t="shared" ref="T9:T14" si="10">+K9-N9-P9-R9</f>
        <v>18</v>
      </c>
      <c r="U9" s="18">
        <f t="shared" ref="U9:U14" si="11">IF(T9=0,,V9/T9)</f>
        <v>0.36249999999999999</v>
      </c>
      <c r="V9" s="18">
        <f t="shared" ref="V9:V14" si="12">+T9*L9</f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8">
        <f t="shared" ref="AA9:AA19" si="13">+Y9</f>
        <v>0</v>
      </c>
      <c r="AB9" s="30">
        <f t="shared" ref="AB9:AB19" si="14">+Z9</f>
        <v>0</v>
      </c>
    </row>
    <row r="10" spans="1:28" ht="14.4" x14ac:dyDescent="0.3">
      <c r="A10" s="16">
        <f t="shared" si="8"/>
        <v>3</v>
      </c>
      <c r="B10" s="17" t="s">
        <v>21</v>
      </c>
      <c r="C10" s="47" t="s">
        <v>62</v>
      </c>
      <c r="D10" s="16">
        <v>48</v>
      </c>
      <c r="E10" s="16">
        <v>11</v>
      </c>
      <c r="F10" s="18">
        <f t="shared" si="0"/>
        <v>0.36249999999999999</v>
      </c>
      <c r="G10" s="18">
        <f t="shared" si="1"/>
        <v>3.9874999999999998</v>
      </c>
      <c r="H10" s="17"/>
      <c r="I10" s="18"/>
      <c r="J10" s="18">
        <f t="shared" si="2"/>
        <v>0</v>
      </c>
      <c r="K10" s="16">
        <f t="shared" si="3"/>
        <v>11</v>
      </c>
      <c r="L10" s="19">
        <f t="shared" si="4"/>
        <v>0.36249999999999999</v>
      </c>
      <c r="M10" s="19">
        <f t="shared" si="5"/>
        <v>3.9874999999999998</v>
      </c>
      <c r="N10" s="17"/>
      <c r="O10" s="18">
        <f t="shared" si="6"/>
        <v>0</v>
      </c>
      <c r="P10" s="17"/>
      <c r="Q10" s="18">
        <f t="shared" si="9"/>
        <v>0</v>
      </c>
      <c r="R10" s="17"/>
      <c r="S10" s="18">
        <f t="shared" ref="S10:S14" si="15">+R10*L10</f>
        <v>0</v>
      </c>
      <c r="T10" s="17">
        <f t="shared" si="10"/>
        <v>11</v>
      </c>
      <c r="U10" s="18">
        <f t="shared" si="11"/>
        <v>0.36249999999999999</v>
      </c>
      <c r="V10" s="18">
        <f t="shared" si="12"/>
        <v>3.9874999999999998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8">
        <f t="shared" si="13"/>
        <v>0</v>
      </c>
      <c r="AB10" s="30">
        <f t="shared" si="14"/>
        <v>0</v>
      </c>
    </row>
    <row r="11" spans="1:28" ht="14.4" x14ac:dyDescent="0.3">
      <c r="A11" s="16">
        <f t="shared" si="8"/>
        <v>4</v>
      </c>
      <c r="B11" s="17" t="s">
        <v>22</v>
      </c>
      <c r="C11" s="47" t="s">
        <v>63</v>
      </c>
      <c r="D11" s="16">
        <v>48</v>
      </c>
      <c r="E11" s="16">
        <v>2</v>
      </c>
      <c r="F11" s="18">
        <f t="shared" si="0"/>
        <v>0.36249999999999999</v>
      </c>
      <c r="G11" s="18">
        <f t="shared" si="1"/>
        <v>0.72499999999999998</v>
      </c>
      <c r="H11" s="17"/>
      <c r="I11" s="18"/>
      <c r="J11" s="18">
        <f t="shared" si="2"/>
        <v>0</v>
      </c>
      <c r="K11" s="16">
        <f t="shared" si="3"/>
        <v>2</v>
      </c>
      <c r="L11" s="19">
        <f t="shared" si="4"/>
        <v>0.36249999999999999</v>
      </c>
      <c r="M11" s="19">
        <f t="shared" si="5"/>
        <v>0.72499999999999998</v>
      </c>
      <c r="N11" s="17"/>
      <c r="O11" s="18">
        <f t="shared" si="6"/>
        <v>0</v>
      </c>
      <c r="P11" s="17"/>
      <c r="Q11" s="18">
        <f t="shared" si="9"/>
        <v>0</v>
      </c>
      <c r="R11" s="17"/>
      <c r="S11" s="18">
        <f t="shared" si="15"/>
        <v>0</v>
      </c>
      <c r="T11" s="17">
        <f t="shared" si="10"/>
        <v>2</v>
      </c>
      <c r="U11" s="18">
        <f t="shared" si="11"/>
        <v>0.36249999999999999</v>
      </c>
      <c r="V11" s="18">
        <f t="shared" si="12"/>
        <v>0.72499999999999998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8">
        <f t="shared" si="13"/>
        <v>0</v>
      </c>
      <c r="AB11" s="30">
        <f t="shared" si="14"/>
        <v>0</v>
      </c>
    </row>
    <row r="12" spans="1:28" ht="14.4" x14ac:dyDescent="0.3">
      <c r="A12" s="16">
        <f t="shared" si="8"/>
        <v>5</v>
      </c>
      <c r="B12" s="17" t="s">
        <v>23</v>
      </c>
      <c r="C12" s="47" t="s">
        <v>64</v>
      </c>
      <c r="D12" s="16">
        <v>48</v>
      </c>
      <c r="E12" s="16">
        <v>14</v>
      </c>
      <c r="F12" s="18">
        <f t="shared" si="0"/>
        <v>0.36249999999999999</v>
      </c>
      <c r="G12" s="18">
        <f t="shared" si="1"/>
        <v>5.0750000000000002</v>
      </c>
      <c r="H12" s="17"/>
      <c r="I12" s="18"/>
      <c r="J12" s="18">
        <f t="shared" si="2"/>
        <v>0</v>
      </c>
      <c r="K12" s="16">
        <f t="shared" si="3"/>
        <v>14</v>
      </c>
      <c r="L12" s="19">
        <f t="shared" si="4"/>
        <v>0.36249999999999999</v>
      </c>
      <c r="M12" s="19">
        <f t="shared" si="5"/>
        <v>5.0750000000000002</v>
      </c>
      <c r="N12" s="17"/>
      <c r="O12" s="18">
        <f t="shared" si="6"/>
        <v>0</v>
      </c>
      <c r="P12" s="17"/>
      <c r="Q12" s="18">
        <f t="shared" si="9"/>
        <v>0</v>
      </c>
      <c r="R12" s="17"/>
      <c r="S12" s="18">
        <f t="shared" si="15"/>
        <v>0</v>
      </c>
      <c r="T12" s="17">
        <f t="shared" si="10"/>
        <v>14</v>
      </c>
      <c r="U12" s="18">
        <f t="shared" si="11"/>
        <v>0.36249999999999999</v>
      </c>
      <c r="V12" s="18">
        <f t="shared" si="12"/>
        <v>5.0750000000000002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8">
        <f t="shared" si="13"/>
        <v>0</v>
      </c>
      <c r="AB12" s="30">
        <f t="shared" si="14"/>
        <v>0</v>
      </c>
    </row>
    <row r="13" spans="1:28" ht="14.4" x14ac:dyDescent="0.3">
      <c r="A13" s="16">
        <f t="shared" si="8"/>
        <v>6</v>
      </c>
      <c r="B13" s="17" t="s">
        <v>24</v>
      </c>
      <c r="C13" s="47" t="s">
        <v>65</v>
      </c>
      <c r="D13" s="16">
        <v>48</v>
      </c>
      <c r="E13" s="16">
        <v>19</v>
      </c>
      <c r="F13" s="18">
        <f t="shared" si="0"/>
        <v>0.36249999999999999</v>
      </c>
      <c r="G13" s="18">
        <f t="shared" si="1"/>
        <v>6.8875000000000002</v>
      </c>
      <c r="H13" s="17"/>
      <c r="I13" s="18"/>
      <c r="J13" s="18">
        <f t="shared" si="2"/>
        <v>0</v>
      </c>
      <c r="K13" s="16">
        <f t="shared" si="3"/>
        <v>19</v>
      </c>
      <c r="L13" s="19">
        <f t="shared" si="4"/>
        <v>0.36249999999999999</v>
      </c>
      <c r="M13" s="19">
        <f t="shared" si="5"/>
        <v>6.8875000000000002</v>
      </c>
      <c r="N13" s="17"/>
      <c r="O13" s="18">
        <f t="shared" si="6"/>
        <v>0</v>
      </c>
      <c r="P13" s="17"/>
      <c r="Q13" s="18">
        <f t="shared" si="9"/>
        <v>0</v>
      </c>
      <c r="R13" s="17"/>
      <c r="S13" s="18">
        <f t="shared" si="15"/>
        <v>0</v>
      </c>
      <c r="T13" s="17">
        <f t="shared" si="10"/>
        <v>19</v>
      </c>
      <c r="U13" s="18">
        <f t="shared" si="11"/>
        <v>0.36249999999999999</v>
      </c>
      <c r="V13" s="18">
        <f t="shared" si="12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8">
        <f t="shared" si="13"/>
        <v>0</v>
      </c>
      <c r="AB13" s="30">
        <f t="shared" si="14"/>
        <v>0</v>
      </c>
    </row>
    <row r="14" spans="1:28" ht="14.4" x14ac:dyDescent="0.3">
      <c r="A14" s="16">
        <f t="shared" si="8"/>
        <v>7</v>
      </c>
      <c r="B14" s="17" t="s">
        <v>25</v>
      </c>
      <c r="C14" s="47" t="s">
        <v>66</v>
      </c>
      <c r="D14" s="16">
        <v>48</v>
      </c>
      <c r="E14" s="16">
        <v>20</v>
      </c>
      <c r="F14" s="18">
        <f t="shared" si="0"/>
        <v>0.36249999999999999</v>
      </c>
      <c r="G14" s="18">
        <f t="shared" si="1"/>
        <v>7.25</v>
      </c>
      <c r="H14" s="17"/>
      <c r="I14" s="18"/>
      <c r="J14" s="18">
        <f t="shared" si="2"/>
        <v>0</v>
      </c>
      <c r="K14" s="16">
        <f t="shared" si="3"/>
        <v>20</v>
      </c>
      <c r="L14" s="19">
        <f t="shared" si="4"/>
        <v>0.36249999999999999</v>
      </c>
      <c r="M14" s="19">
        <f t="shared" si="5"/>
        <v>7.25</v>
      </c>
      <c r="N14" s="17"/>
      <c r="O14" s="18">
        <f t="shared" si="6"/>
        <v>0</v>
      </c>
      <c r="P14" s="17"/>
      <c r="Q14" s="18">
        <f t="shared" si="9"/>
        <v>0</v>
      </c>
      <c r="R14" s="17"/>
      <c r="S14" s="18">
        <f t="shared" si="15"/>
        <v>0</v>
      </c>
      <c r="T14" s="17">
        <f t="shared" si="10"/>
        <v>20</v>
      </c>
      <c r="U14" s="18">
        <f t="shared" si="11"/>
        <v>0.36249999999999999</v>
      </c>
      <c r="V14" s="18">
        <f t="shared" si="12"/>
        <v>7.25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8">
        <f t="shared" si="13"/>
        <v>0</v>
      </c>
      <c r="AB14" s="30">
        <f t="shared" si="14"/>
        <v>0</v>
      </c>
    </row>
    <row r="15" spans="1:28" s="3" customFormat="1" ht="15" customHeight="1" x14ac:dyDescent="0.25">
      <c r="A15" s="5"/>
      <c r="B15" s="5" t="s">
        <v>28</v>
      </c>
      <c r="C15" s="5"/>
      <c r="D15" s="5">
        <f>+SUM(D8:D14)</f>
        <v>336</v>
      </c>
      <c r="E15" s="23">
        <f>+SUM(E8:E14)</f>
        <v>85</v>
      </c>
      <c r="F15" s="23"/>
      <c r="G15" s="24">
        <f>+SUM(G8:G14)</f>
        <v>30.8125</v>
      </c>
      <c r="H15" s="23">
        <f>+SUM(H8:H14)</f>
        <v>0</v>
      </c>
      <c r="I15" s="23"/>
      <c r="J15" s="24">
        <f>+SUM(J8:J14)</f>
        <v>0</v>
      </c>
      <c r="K15" s="23">
        <f t="shared" ref="K15" si="16">+SUM(K8:K14)</f>
        <v>85</v>
      </c>
      <c r="L15" s="23"/>
      <c r="M15" s="24">
        <f t="shared" ref="M15:N15" si="17">+SUM(M8:M14)</f>
        <v>30.8125</v>
      </c>
      <c r="N15" s="23">
        <f t="shared" si="17"/>
        <v>0</v>
      </c>
      <c r="O15" s="24">
        <f t="shared" ref="O15:P15" si="18">+SUM(O8:O14)</f>
        <v>0</v>
      </c>
      <c r="P15" s="23">
        <f t="shared" si="18"/>
        <v>0</v>
      </c>
      <c r="Q15" s="24">
        <f t="shared" ref="Q15:R15" si="19">+SUM(Q8:Q14)</f>
        <v>0</v>
      </c>
      <c r="R15" s="23">
        <f t="shared" si="19"/>
        <v>0</v>
      </c>
      <c r="S15" s="24">
        <f t="shared" ref="S15:T15" si="20">+SUM(S8:S14)</f>
        <v>0</v>
      </c>
      <c r="T15" s="23">
        <f t="shared" si="20"/>
        <v>85</v>
      </c>
      <c r="U15" s="23"/>
      <c r="V15" s="24">
        <f t="shared" ref="V15" si="21">+SUM(V8:V14)</f>
        <v>30.8125</v>
      </c>
      <c r="W15" s="1" t="str">
        <f>+$B$17</f>
        <v>Dasani 500ml (24 Btl)</v>
      </c>
      <c r="Y15" s="2">
        <f>+$R$17</f>
        <v>1</v>
      </c>
      <c r="Z15" s="26">
        <f>+Y15*0.5</f>
        <v>0.5</v>
      </c>
      <c r="AA15" s="38">
        <f t="shared" si="13"/>
        <v>1</v>
      </c>
      <c r="AB15" s="30">
        <f t="shared" si="14"/>
        <v>0.5</v>
      </c>
    </row>
    <row r="16" spans="1:28" s="3" customFormat="1" ht="14.25" customHeight="1" x14ac:dyDescent="0.25">
      <c r="A16" s="5"/>
      <c r="B16" s="5" t="s">
        <v>27</v>
      </c>
      <c r="C16" s="5"/>
      <c r="D16" s="5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8">
        <f t="shared" si="13"/>
        <v>0</v>
      </c>
      <c r="AB16" s="30">
        <f t="shared" si="14"/>
        <v>0</v>
      </c>
    </row>
    <row r="17" spans="1:28" x14ac:dyDescent="0.25">
      <c r="A17" s="16">
        <f>+A14+1</f>
        <v>8</v>
      </c>
      <c r="B17" s="17" t="s">
        <v>26</v>
      </c>
      <c r="C17" s="17"/>
      <c r="D17" s="16">
        <v>48</v>
      </c>
      <c r="E17" s="16">
        <v>34</v>
      </c>
      <c r="F17" s="18">
        <f>3.56/24</f>
        <v>0.14833333333333334</v>
      </c>
      <c r="G17" s="18">
        <f>+E17*F17</f>
        <v>5.0433333333333339</v>
      </c>
      <c r="H17" s="17"/>
      <c r="I17" s="18"/>
      <c r="J17" s="18">
        <f>+H17*I17</f>
        <v>0</v>
      </c>
      <c r="K17" s="16">
        <f>+E17+H17</f>
        <v>34</v>
      </c>
      <c r="L17" s="19">
        <f t="shared" ref="L17" si="22">IF(K17=0,,M17/K17)</f>
        <v>0.14833333333333334</v>
      </c>
      <c r="M17" s="19">
        <f>+J17+G17</f>
        <v>5.0433333333333339</v>
      </c>
      <c r="N17" s="17"/>
      <c r="O17" s="18">
        <f>+L17*N17</f>
        <v>0</v>
      </c>
      <c r="P17" s="17"/>
      <c r="Q17" s="18">
        <f t="shared" ref="Q17" si="23">+P17*L17</f>
        <v>0</v>
      </c>
      <c r="R17" s="17">
        <v>1</v>
      </c>
      <c r="S17" s="18">
        <f>+R17*L17</f>
        <v>0.14833333333333334</v>
      </c>
      <c r="T17" s="17">
        <f t="shared" ref="T17" si="24">+K17-N17-P17-R17</f>
        <v>33</v>
      </c>
      <c r="U17" s="18">
        <f t="shared" ref="U17" si="25">IF(T17=0,,V17/T17)</f>
        <v>0.14833333333333334</v>
      </c>
      <c r="V17" s="18">
        <f t="shared" ref="V17" si="26">+T17*L17</f>
        <v>4.8950000000000005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8">
        <f t="shared" si="13"/>
        <v>0</v>
      </c>
      <c r="AB17" s="30">
        <f t="shared" si="14"/>
        <v>0</v>
      </c>
    </row>
    <row r="18" spans="1:28" s="3" customFormat="1" ht="18.75" customHeight="1" x14ac:dyDescent="0.25">
      <c r="A18" s="5"/>
      <c r="B18" s="5" t="s">
        <v>29</v>
      </c>
      <c r="C18" s="5"/>
      <c r="D18" s="5">
        <f>+D17</f>
        <v>48</v>
      </c>
      <c r="E18" s="23">
        <f>+E17</f>
        <v>34</v>
      </c>
      <c r="F18" s="23"/>
      <c r="G18" s="24">
        <f>+G17</f>
        <v>5.0433333333333339</v>
      </c>
      <c r="H18" s="23">
        <f t="shared" ref="H18" si="27">+H17</f>
        <v>0</v>
      </c>
      <c r="I18" s="23"/>
      <c r="J18" s="24">
        <f t="shared" ref="J18:K18" si="28">+J17</f>
        <v>0</v>
      </c>
      <c r="K18" s="23">
        <f t="shared" si="28"/>
        <v>34</v>
      </c>
      <c r="L18" s="23"/>
      <c r="M18" s="24">
        <f t="shared" ref="M18:N18" si="29">+M17</f>
        <v>5.0433333333333339</v>
      </c>
      <c r="N18" s="23">
        <f t="shared" si="29"/>
        <v>0</v>
      </c>
      <c r="O18" s="24">
        <f>+O17</f>
        <v>0</v>
      </c>
      <c r="P18" s="23">
        <f t="shared" ref="P18" si="30">+P17</f>
        <v>0</v>
      </c>
      <c r="Q18" s="24">
        <f t="shared" ref="Q18:R18" si="31">+Q17</f>
        <v>0</v>
      </c>
      <c r="R18" s="23">
        <f t="shared" si="31"/>
        <v>1</v>
      </c>
      <c r="S18" s="24">
        <f t="shared" ref="S18:T18" si="32">+S17</f>
        <v>0.14833333333333334</v>
      </c>
      <c r="T18" s="23">
        <f t="shared" si="32"/>
        <v>33</v>
      </c>
      <c r="U18" s="23"/>
      <c r="V18" s="24">
        <f t="shared" ref="V18" si="33">+V17</f>
        <v>4.8950000000000005</v>
      </c>
      <c r="W18" s="37">
        <f>+B22</f>
        <v>0</v>
      </c>
      <c r="Y18" s="34">
        <f>+$R$22</f>
        <v>0</v>
      </c>
      <c r="Z18" s="26">
        <f t="shared" si="7"/>
        <v>0</v>
      </c>
      <c r="AA18" s="38">
        <f t="shared" si="13"/>
        <v>0</v>
      </c>
      <c r="AB18" s="30">
        <f t="shared" si="14"/>
        <v>0</v>
      </c>
    </row>
    <row r="19" spans="1:28" s="3" customFormat="1" ht="14.25" customHeight="1" x14ac:dyDescent="0.25">
      <c r="A19" s="5"/>
      <c r="B19" s="5" t="s">
        <v>30</v>
      </c>
      <c r="C19" s="5"/>
      <c r="D19" s="5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37">
        <f>+B23</f>
        <v>0</v>
      </c>
      <c r="Y19" s="34">
        <f>+$R$23</f>
        <v>0</v>
      </c>
      <c r="Z19" s="26">
        <f t="shared" si="7"/>
        <v>0</v>
      </c>
      <c r="AA19" s="38">
        <f t="shared" si="13"/>
        <v>0</v>
      </c>
      <c r="AB19" s="30">
        <f t="shared" si="14"/>
        <v>0</v>
      </c>
    </row>
    <row r="20" spans="1:28" ht="14.4" x14ac:dyDescent="0.25">
      <c r="A20" s="16">
        <f t="shared" ref="A20:A28" si="34">+A19+1</f>
        <v>1</v>
      </c>
      <c r="B20" s="42" t="s">
        <v>57</v>
      </c>
      <c r="C20" s="42" t="s">
        <v>67</v>
      </c>
      <c r="D20" s="16">
        <v>48</v>
      </c>
      <c r="E20" s="16">
        <v>32</v>
      </c>
      <c r="F20" s="18">
        <v>0.48</v>
      </c>
      <c r="G20" s="18">
        <f t="shared" ref="G20:G37" si="35">+E20*F20</f>
        <v>15.36</v>
      </c>
      <c r="H20" s="17"/>
      <c r="I20" s="18"/>
      <c r="J20" s="18">
        <f>+H20*I20</f>
        <v>0</v>
      </c>
      <c r="K20" s="16">
        <f t="shared" ref="K20:K26" si="36">+E20+H20</f>
        <v>32</v>
      </c>
      <c r="L20" s="19">
        <f t="shared" ref="L20:L37" si="37">IF(K20=0,,M20/K20)</f>
        <v>0.48</v>
      </c>
      <c r="M20" s="19">
        <f t="shared" ref="M20:M26" si="38">+J20+G20</f>
        <v>15.36</v>
      </c>
      <c r="N20" s="17"/>
      <c r="O20" s="18">
        <f t="shared" ref="O20:O37" si="39">+L20*N20</f>
        <v>0</v>
      </c>
      <c r="P20" s="17"/>
      <c r="Q20" s="18">
        <f>+P20*L20</f>
        <v>0</v>
      </c>
      <c r="R20" s="17"/>
      <c r="S20" s="18">
        <f>+R20*L20</f>
        <v>0</v>
      </c>
      <c r="T20" s="17">
        <f t="shared" ref="T20:T37" si="40">+K20-N20-P20-R20</f>
        <v>32</v>
      </c>
      <c r="U20" s="18">
        <f t="shared" ref="U20:U37" si="41">IF(T20=0,,V20/T20)</f>
        <v>0.48</v>
      </c>
      <c r="V20" s="18">
        <f t="shared" ref="V20:V26" si="42">+T20*L20</f>
        <v>15.36</v>
      </c>
      <c r="W20" s="70" t="s">
        <v>43</v>
      </c>
      <c r="X20" s="70"/>
      <c r="Y20" s="28">
        <f>+SUM(Y8:Y19)</f>
        <v>1</v>
      </c>
      <c r="Z20" s="31">
        <f>+SUM(Z8:Z19)</f>
        <v>0.5</v>
      </c>
      <c r="AA20" s="28">
        <f>+SUM(AA8:AA19)</f>
        <v>1</v>
      </c>
      <c r="AB20" s="31">
        <f>+SUM(AB8:AB19)</f>
        <v>0.5</v>
      </c>
    </row>
    <row r="21" spans="1:28" ht="14.4" x14ac:dyDescent="0.25">
      <c r="A21" s="16">
        <f t="shared" si="34"/>
        <v>2</v>
      </c>
      <c r="B21" s="42" t="s">
        <v>58</v>
      </c>
      <c r="C21" s="42" t="s">
        <v>68</v>
      </c>
      <c r="D21" s="16">
        <v>48</v>
      </c>
      <c r="E21" s="16">
        <v>29</v>
      </c>
      <c r="F21" s="18">
        <v>0.65</v>
      </c>
      <c r="G21" s="18">
        <f t="shared" si="35"/>
        <v>18.850000000000001</v>
      </c>
      <c r="H21" s="17"/>
      <c r="I21" s="18"/>
      <c r="J21" s="18">
        <f t="shared" ref="J21:J37" si="43">+H21*I21</f>
        <v>0</v>
      </c>
      <c r="K21" s="16">
        <f t="shared" si="36"/>
        <v>29</v>
      </c>
      <c r="L21" s="19">
        <f t="shared" si="37"/>
        <v>0.65</v>
      </c>
      <c r="M21" s="19">
        <f t="shared" si="38"/>
        <v>18.850000000000001</v>
      </c>
      <c r="N21" s="17"/>
      <c r="O21" s="18">
        <f t="shared" si="39"/>
        <v>0</v>
      </c>
      <c r="P21" s="17"/>
      <c r="Q21" s="18">
        <f t="shared" ref="Q21:Q27" si="44">+P21*L21</f>
        <v>0</v>
      </c>
      <c r="R21" s="17"/>
      <c r="S21" s="18">
        <f t="shared" ref="S21:S26" si="45">+R21*L21</f>
        <v>0</v>
      </c>
      <c r="T21" s="17">
        <f t="shared" si="40"/>
        <v>29</v>
      </c>
      <c r="U21" s="18">
        <f t="shared" si="41"/>
        <v>0.65</v>
      </c>
      <c r="V21" s="18">
        <f t="shared" si="42"/>
        <v>18.850000000000001</v>
      </c>
    </row>
    <row r="22" spans="1:28" x14ac:dyDescent="0.25">
      <c r="A22" s="16">
        <f t="shared" si="34"/>
        <v>3</v>
      </c>
      <c r="B22" s="41"/>
      <c r="C22" s="41"/>
      <c r="D22" s="16"/>
      <c r="E22" s="16"/>
      <c r="F22" s="18"/>
      <c r="G22" s="18">
        <f t="shared" si="35"/>
        <v>0</v>
      </c>
      <c r="H22" s="17"/>
      <c r="I22" s="18"/>
      <c r="J22" s="18">
        <f t="shared" si="43"/>
        <v>0</v>
      </c>
      <c r="K22" s="16">
        <f t="shared" si="36"/>
        <v>0</v>
      </c>
      <c r="L22" s="19">
        <f t="shared" si="37"/>
        <v>0</v>
      </c>
      <c r="M22" s="19">
        <f t="shared" si="38"/>
        <v>0</v>
      </c>
      <c r="N22" s="17"/>
      <c r="O22" s="18">
        <f t="shared" si="39"/>
        <v>0</v>
      </c>
      <c r="P22" s="17"/>
      <c r="Q22" s="18">
        <f t="shared" si="44"/>
        <v>0</v>
      </c>
      <c r="R22" s="17"/>
      <c r="S22" s="18">
        <f t="shared" si="45"/>
        <v>0</v>
      </c>
      <c r="T22" s="17">
        <f t="shared" si="40"/>
        <v>0</v>
      </c>
      <c r="U22" s="18">
        <f t="shared" si="41"/>
        <v>0</v>
      </c>
      <c r="V22" s="18">
        <f t="shared" si="42"/>
        <v>0</v>
      </c>
    </row>
    <row r="23" spans="1:28" x14ac:dyDescent="0.25">
      <c r="A23" s="16">
        <f t="shared" si="34"/>
        <v>4</v>
      </c>
      <c r="B23" s="17"/>
      <c r="C23" s="17"/>
      <c r="D23" s="16"/>
      <c r="E23" s="16"/>
      <c r="F23" s="18"/>
      <c r="G23" s="18">
        <f t="shared" si="35"/>
        <v>0</v>
      </c>
      <c r="H23" s="17"/>
      <c r="I23" s="18"/>
      <c r="J23" s="18">
        <f t="shared" si="43"/>
        <v>0</v>
      </c>
      <c r="K23" s="16">
        <f t="shared" si="36"/>
        <v>0</v>
      </c>
      <c r="L23" s="19">
        <f t="shared" si="37"/>
        <v>0</v>
      </c>
      <c r="M23" s="19">
        <f t="shared" si="38"/>
        <v>0</v>
      </c>
      <c r="N23" s="17"/>
      <c r="O23" s="18">
        <f t="shared" si="39"/>
        <v>0</v>
      </c>
      <c r="P23" s="17"/>
      <c r="Q23" s="18">
        <f t="shared" si="44"/>
        <v>0</v>
      </c>
      <c r="R23" s="17"/>
      <c r="S23" s="18">
        <f t="shared" si="45"/>
        <v>0</v>
      </c>
      <c r="T23" s="17">
        <f t="shared" si="40"/>
        <v>0</v>
      </c>
      <c r="U23" s="18">
        <f t="shared" si="41"/>
        <v>0</v>
      </c>
      <c r="V23" s="18">
        <f t="shared" si="42"/>
        <v>0</v>
      </c>
    </row>
    <row r="24" spans="1:28" x14ac:dyDescent="0.25">
      <c r="A24" s="16">
        <f t="shared" si="34"/>
        <v>5</v>
      </c>
      <c r="B24" s="17"/>
      <c r="C24" s="17"/>
      <c r="D24" s="16"/>
      <c r="E24" s="16"/>
      <c r="F24" s="18"/>
      <c r="G24" s="18">
        <f t="shared" si="35"/>
        <v>0</v>
      </c>
      <c r="H24" s="17"/>
      <c r="I24" s="18"/>
      <c r="J24" s="18">
        <f t="shared" si="43"/>
        <v>0</v>
      </c>
      <c r="K24" s="16">
        <f t="shared" si="36"/>
        <v>0</v>
      </c>
      <c r="L24" s="19">
        <f t="shared" si="37"/>
        <v>0</v>
      </c>
      <c r="M24" s="19">
        <f t="shared" si="38"/>
        <v>0</v>
      </c>
      <c r="N24" s="17"/>
      <c r="O24" s="18">
        <f t="shared" si="39"/>
        <v>0</v>
      </c>
      <c r="P24" s="17"/>
      <c r="Q24" s="18">
        <f t="shared" si="44"/>
        <v>0</v>
      </c>
      <c r="R24" s="17"/>
      <c r="S24" s="18">
        <f t="shared" si="45"/>
        <v>0</v>
      </c>
      <c r="T24" s="17">
        <f t="shared" si="40"/>
        <v>0</v>
      </c>
      <c r="U24" s="18">
        <f t="shared" si="41"/>
        <v>0</v>
      </c>
      <c r="V24" s="18">
        <f t="shared" si="42"/>
        <v>0</v>
      </c>
    </row>
    <row r="25" spans="1:28" hidden="1" x14ac:dyDescent="0.25">
      <c r="A25" s="16">
        <f t="shared" si="34"/>
        <v>6</v>
      </c>
      <c r="B25" s="17"/>
      <c r="C25" s="17"/>
      <c r="D25" s="16"/>
      <c r="E25" s="16"/>
      <c r="F25" s="18"/>
      <c r="G25" s="18">
        <f t="shared" si="35"/>
        <v>0</v>
      </c>
      <c r="H25" s="17"/>
      <c r="I25" s="18"/>
      <c r="J25" s="18">
        <f t="shared" si="43"/>
        <v>0</v>
      </c>
      <c r="K25" s="16">
        <f t="shared" si="36"/>
        <v>0</v>
      </c>
      <c r="L25" s="19">
        <f t="shared" si="37"/>
        <v>0</v>
      </c>
      <c r="M25" s="19">
        <f t="shared" si="38"/>
        <v>0</v>
      </c>
      <c r="N25" s="17"/>
      <c r="O25" s="18">
        <f t="shared" si="39"/>
        <v>0</v>
      </c>
      <c r="P25" s="17"/>
      <c r="Q25" s="18">
        <f t="shared" si="44"/>
        <v>0</v>
      </c>
      <c r="R25" s="17"/>
      <c r="S25" s="18">
        <f t="shared" si="45"/>
        <v>0</v>
      </c>
      <c r="T25" s="17">
        <f t="shared" si="40"/>
        <v>0</v>
      </c>
      <c r="U25" s="18">
        <f t="shared" si="41"/>
        <v>0</v>
      </c>
      <c r="V25" s="18">
        <f t="shared" si="42"/>
        <v>0</v>
      </c>
    </row>
    <row r="26" spans="1:28" hidden="1" x14ac:dyDescent="0.25">
      <c r="A26" s="16">
        <f t="shared" si="34"/>
        <v>7</v>
      </c>
      <c r="B26" s="17"/>
      <c r="C26" s="17"/>
      <c r="D26" s="16"/>
      <c r="E26" s="16"/>
      <c r="F26" s="18"/>
      <c r="G26" s="18">
        <f t="shared" si="35"/>
        <v>0</v>
      </c>
      <c r="H26" s="17"/>
      <c r="I26" s="18"/>
      <c r="J26" s="18">
        <f t="shared" si="43"/>
        <v>0</v>
      </c>
      <c r="K26" s="16">
        <f t="shared" si="36"/>
        <v>0</v>
      </c>
      <c r="L26" s="19">
        <f t="shared" si="37"/>
        <v>0</v>
      </c>
      <c r="M26" s="19">
        <f t="shared" si="38"/>
        <v>0</v>
      </c>
      <c r="N26" s="17"/>
      <c r="O26" s="18">
        <f t="shared" si="39"/>
        <v>0</v>
      </c>
      <c r="P26" s="17"/>
      <c r="Q26" s="18">
        <f t="shared" si="44"/>
        <v>0</v>
      </c>
      <c r="R26" s="17"/>
      <c r="S26" s="18">
        <f t="shared" si="45"/>
        <v>0</v>
      </c>
      <c r="T26" s="17">
        <f t="shared" si="40"/>
        <v>0</v>
      </c>
      <c r="U26" s="18">
        <f t="shared" si="41"/>
        <v>0</v>
      </c>
      <c r="V26" s="18">
        <f t="shared" si="42"/>
        <v>0</v>
      </c>
    </row>
    <row r="27" spans="1:28" hidden="1" x14ac:dyDescent="0.25">
      <c r="A27" s="16">
        <f t="shared" si="34"/>
        <v>8</v>
      </c>
      <c r="B27" s="17"/>
      <c r="C27" s="17"/>
      <c r="D27" s="16"/>
      <c r="E27" s="16"/>
      <c r="F27" s="18"/>
      <c r="G27" s="18">
        <f t="shared" si="35"/>
        <v>0</v>
      </c>
      <c r="H27" s="17"/>
      <c r="I27" s="18"/>
      <c r="J27" s="18">
        <f t="shared" si="43"/>
        <v>0</v>
      </c>
      <c r="K27" s="16">
        <f t="shared" ref="K27:K37" si="46">+E27+H27</f>
        <v>0</v>
      </c>
      <c r="L27" s="19">
        <f t="shared" si="37"/>
        <v>0</v>
      </c>
      <c r="M27" s="19">
        <f t="shared" ref="M27:M37" si="47">+J27+G27</f>
        <v>0</v>
      </c>
      <c r="N27" s="17"/>
      <c r="O27" s="18">
        <f t="shared" si="39"/>
        <v>0</v>
      </c>
      <c r="P27" s="17"/>
      <c r="Q27" s="18">
        <f t="shared" si="44"/>
        <v>0</v>
      </c>
      <c r="R27" s="17"/>
      <c r="S27" s="18">
        <f t="shared" ref="S27:S37" si="48">+R27*L27</f>
        <v>0</v>
      </c>
      <c r="T27" s="17">
        <f t="shared" si="40"/>
        <v>0</v>
      </c>
      <c r="U27" s="18">
        <f t="shared" si="41"/>
        <v>0</v>
      </c>
      <c r="V27" s="18">
        <f t="shared" ref="V27:V37" si="49">+T27*L27</f>
        <v>0</v>
      </c>
    </row>
    <row r="28" spans="1:28" hidden="1" x14ac:dyDescent="0.25">
      <c r="A28" s="16">
        <f t="shared" si="34"/>
        <v>9</v>
      </c>
      <c r="B28" s="17"/>
      <c r="C28" s="17"/>
      <c r="D28" s="16"/>
      <c r="E28" s="16"/>
      <c r="F28" s="18"/>
      <c r="G28" s="18">
        <f t="shared" si="35"/>
        <v>0</v>
      </c>
      <c r="H28" s="17"/>
      <c r="I28" s="18"/>
      <c r="J28" s="18">
        <f t="shared" si="43"/>
        <v>0</v>
      </c>
      <c r="K28" s="16">
        <f t="shared" si="46"/>
        <v>0</v>
      </c>
      <c r="L28" s="19">
        <f t="shared" si="37"/>
        <v>0</v>
      </c>
      <c r="M28" s="19">
        <f t="shared" si="47"/>
        <v>0</v>
      </c>
      <c r="N28" s="17"/>
      <c r="O28" s="18">
        <f t="shared" si="39"/>
        <v>0</v>
      </c>
      <c r="P28" s="17"/>
      <c r="Q28" s="18">
        <f t="shared" ref="Q28:Q37" si="50">+P28*L28</f>
        <v>0</v>
      </c>
      <c r="R28" s="17"/>
      <c r="S28" s="18">
        <f t="shared" si="48"/>
        <v>0</v>
      </c>
      <c r="T28" s="17">
        <f t="shared" si="40"/>
        <v>0</v>
      </c>
      <c r="U28" s="18">
        <f t="shared" si="41"/>
        <v>0</v>
      </c>
      <c r="V28" s="18">
        <f t="shared" si="49"/>
        <v>0</v>
      </c>
    </row>
    <row r="29" spans="1:28" hidden="1" x14ac:dyDescent="0.25">
      <c r="A29" s="16">
        <f t="shared" ref="A29:A37" si="51">+A28+1</f>
        <v>10</v>
      </c>
      <c r="B29" s="17"/>
      <c r="C29" s="17"/>
      <c r="D29" s="16"/>
      <c r="E29" s="16"/>
      <c r="F29" s="18"/>
      <c r="G29" s="18">
        <f t="shared" si="35"/>
        <v>0</v>
      </c>
      <c r="H29" s="17"/>
      <c r="I29" s="18"/>
      <c r="J29" s="18">
        <f t="shared" si="43"/>
        <v>0</v>
      </c>
      <c r="K29" s="16">
        <f t="shared" si="46"/>
        <v>0</v>
      </c>
      <c r="L29" s="19">
        <f t="shared" si="37"/>
        <v>0</v>
      </c>
      <c r="M29" s="19">
        <f t="shared" si="47"/>
        <v>0</v>
      </c>
      <c r="N29" s="17"/>
      <c r="O29" s="18">
        <f t="shared" si="39"/>
        <v>0</v>
      </c>
      <c r="P29" s="17"/>
      <c r="Q29" s="18">
        <f t="shared" si="50"/>
        <v>0</v>
      </c>
      <c r="R29" s="17"/>
      <c r="S29" s="18">
        <f t="shared" si="48"/>
        <v>0</v>
      </c>
      <c r="T29" s="17">
        <f t="shared" si="40"/>
        <v>0</v>
      </c>
      <c r="U29" s="18">
        <f t="shared" si="41"/>
        <v>0</v>
      </c>
      <c r="V29" s="18">
        <f t="shared" si="49"/>
        <v>0</v>
      </c>
    </row>
    <row r="30" spans="1:28" hidden="1" x14ac:dyDescent="0.25">
      <c r="A30" s="16">
        <f t="shared" si="51"/>
        <v>11</v>
      </c>
      <c r="B30" s="17"/>
      <c r="C30" s="17"/>
      <c r="D30" s="16"/>
      <c r="E30" s="16"/>
      <c r="F30" s="18"/>
      <c r="G30" s="18">
        <f t="shared" si="35"/>
        <v>0</v>
      </c>
      <c r="H30" s="17"/>
      <c r="I30" s="18"/>
      <c r="J30" s="18">
        <f t="shared" si="43"/>
        <v>0</v>
      </c>
      <c r="K30" s="16">
        <f t="shared" si="46"/>
        <v>0</v>
      </c>
      <c r="L30" s="19">
        <f t="shared" si="37"/>
        <v>0</v>
      </c>
      <c r="M30" s="19">
        <f t="shared" si="47"/>
        <v>0</v>
      </c>
      <c r="N30" s="17"/>
      <c r="O30" s="18">
        <f t="shared" si="39"/>
        <v>0</v>
      </c>
      <c r="P30" s="17"/>
      <c r="Q30" s="18">
        <f t="shared" si="50"/>
        <v>0</v>
      </c>
      <c r="R30" s="17"/>
      <c r="S30" s="18">
        <f t="shared" si="48"/>
        <v>0</v>
      </c>
      <c r="T30" s="17">
        <f t="shared" si="40"/>
        <v>0</v>
      </c>
      <c r="U30" s="18">
        <f t="shared" si="41"/>
        <v>0</v>
      </c>
      <c r="V30" s="18">
        <f t="shared" si="49"/>
        <v>0</v>
      </c>
    </row>
    <row r="31" spans="1:28" hidden="1" x14ac:dyDescent="0.25">
      <c r="A31" s="16">
        <f t="shared" si="51"/>
        <v>12</v>
      </c>
      <c r="B31" s="17"/>
      <c r="C31" s="17"/>
      <c r="D31" s="16"/>
      <c r="E31" s="16"/>
      <c r="F31" s="18"/>
      <c r="G31" s="18">
        <f t="shared" si="35"/>
        <v>0</v>
      </c>
      <c r="H31" s="17"/>
      <c r="I31" s="18"/>
      <c r="J31" s="18">
        <f t="shared" si="43"/>
        <v>0</v>
      </c>
      <c r="K31" s="16">
        <f t="shared" si="46"/>
        <v>0</v>
      </c>
      <c r="L31" s="19">
        <f t="shared" si="37"/>
        <v>0</v>
      </c>
      <c r="M31" s="19">
        <f t="shared" si="47"/>
        <v>0</v>
      </c>
      <c r="N31" s="17"/>
      <c r="O31" s="18">
        <f t="shared" si="39"/>
        <v>0</v>
      </c>
      <c r="P31" s="17"/>
      <c r="Q31" s="18">
        <f t="shared" si="50"/>
        <v>0</v>
      </c>
      <c r="R31" s="17"/>
      <c r="S31" s="18">
        <f t="shared" si="48"/>
        <v>0</v>
      </c>
      <c r="T31" s="17">
        <f t="shared" si="40"/>
        <v>0</v>
      </c>
      <c r="U31" s="18">
        <f t="shared" si="41"/>
        <v>0</v>
      </c>
      <c r="V31" s="18">
        <f t="shared" si="49"/>
        <v>0</v>
      </c>
    </row>
    <row r="32" spans="1:28" hidden="1" x14ac:dyDescent="0.25">
      <c r="A32" s="16">
        <f t="shared" si="51"/>
        <v>13</v>
      </c>
      <c r="B32" s="17"/>
      <c r="C32" s="17"/>
      <c r="D32" s="16"/>
      <c r="E32" s="16"/>
      <c r="F32" s="18"/>
      <c r="G32" s="18">
        <f t="shared" si="35"/>
        <v>0</v>
      </c>
      <c r="H32" s="17"/>
      <c r="I32" s="18"/>
      <c r="J32" s="18">
        <f t="shared" si="43"/>
        <v>0</v>
      </c>
      <c r="K32" s="16">
        <f t="shared" si="46"/>
        <v>0</v>
      </c>
      <c r="L32" s="19">
        <f t="shared" si="37"/>
        <v>0</v>
      </c>
      <c r="M32" s="19">
        <f t="shared" si="47"/>
        <v>0</v>
      </c>
      <c r="N32" s="17"/>
      <c r="O32" s="18">
        <f t="shared" si="39"/>
        <v>0</v>
      </c>
      <c r="P32" s="17"/>
      <c r="Q32" s="18">
        <f t="shared" si="50"/>
        <v>0</v>
      </c>
      <c r="R32" s="17"/>
      <c r="S32" s="18">
        <f t="shared" si="48"/>
        <v>0</v>
      </c>
      <c r="T32" s="17">
        <f t="shared" si="40"/>
        <v>0</v>
      </c>
      <c r="U32" s="18">
        <f t="shared" si="41"/>
        <v>0</v>
      </c>
      <c r="V32" s="18">
        <f t="shared" si="49"/>
        <v>0</v>
      </c>
    </row>
    <row r="33" spans="1:22" hidden="1" x14ac:dyDescent="0.25">
      <c r="A33" s="16">
        <f t="shared" si="51"/>
        <v>14</v>
      </c>
      <c r="B33" s="17"/>
      <c r="C33" s="17"/>
      <c r="D33" s="16"/>
      <c r="E33" s="16"/>
      <c r="F33" s="18"/>
      <c r="G33" s="18">
        <f t="shared" si="35"/>
        <v>0</v>
      </c>
      <c r="H33" s="17"/>
      <c r="I33" s="18"/>
      <c r="J33" s="18">
        <f t="shared" si="43"/>
        <v>0</v>
      </c>
      <c r="K33" s="16">
        <f t="shared" si="46"/>
        <v>0</v>
      </c>
      <c r="L33" s="19">
        <f t="shared" si="37"/>
        <v>0</v>
      </c>
      <c r="M33" s="19">
        <f t="shared" si="47"/>
        <v>0</v>
      </c>
      <c r="N33" s="17"/>
      <c r="O33" s="18">
        <f t="shared" si="39"/>
        <v>0</v>
      </c>
      <c r="P33" s="17"/>
      <c r="Q33" s="18">
        <f t="shared" si="50"/>
        <v>0</v>
      </c>
      <c r="R33" s="17"/>
      <c r="S33" s="18">
        <f t="shared" si="48"/>
        <v>0</v>
      </c>
      <c r="T33" s="17">
        <f t="shared" si="40"/>
        <v>0</v>
      </c>
      <c r="U33" s="18">
        <f t="shared" si="41"/>
        <v>0</v>
      </c>
      <c r="V33" s="18">
        <f t="shared" si="49"/>
        <v>0</v>
      </c>
    </row>
    <row r="34" spans="1:22" hidden="1" x14ac:dyDescent="0.25">
      <c r="A34" s="16">
        <f t="shared" si="51"/>
        <v>15</v>
      </c>
      <c r="B34" s="17"/>
      <c r="C34" s="17"/>
      <c r="D34" s="16"/>
      <c r="E34" s="16"/>
      <c r="F34" s="18"/>
      <c r="G34" s="18">
        <f t="shared" si="35"/>
        <v>0</v>
      </c>
      <c r="H34" s="17"/>
      <c r="I34" s="18"/>
      <c r="J34" s="18">
        <f t="shared" si="43"/>
        <v>0</v>
      </c>
      <c r="K34" s="16">
        <f t="shared" si="46"/>
        <v>0</v>
      </c>
      <c r="L34" s="19">
        <f t="shared" si="37"/>
        <v>0</v>
      </c>
      <c r="M34" s="19">
        <f t="shared" si="47"/>
        <v>0</v>
      </c>
      <c r="N34" s="17"/>
      <c r="O34" s="18">
        <f t="shared" si="39"/>
        <v>0</v>
      </c>
      <c r="P34" s="17"/>
      <c r="Q34" s="18">
        <f t="shared" si="50"/>
        <v>0</v>
      </c>
      <c r="R34" s="17"/>
      <c r="S34" s="18">
        <f t="shared" si="48"/>
        <v>0</v>
      </c>
      <c r="T34" s="17">
        <f t="shared" si="40"/>
        <v>0</v>
      </c>
      <c r="U34" s="18">
        <f t="shared" si="41"/>
        <v>0</v>
      </c>
      <c r="V34" s="18">
        <f t="shared" si="49"/>
        <v>0</v>
      </c>
    </row>
    <row r="35" spans="1:22" hidden="1" x14ac:dyDescent="0.25">
      <c r="A35" s="16">
        <f t="shared" si="51"/>
        <v>16</v>
      </c>
      <c r="B35" s="17"/>
      <c r="C35" s="17"/>
      <c r="D35" s="16"/>
      <c r="E35" s="16"/>
      <c r="F35" s="18"/>
      <c r="G35" s="18">
        <f t="shared" si="35"/>
        <v>0</v>
      </c>
      <c r="H35" s="17"/>
      <c r="I35" s="18"/>
      <c r="J35" s="18">
        <f t="shared" si="43"/>
        <v>0</v>
      </c>
      <c r="K35" s="16">
        <f t="shared" si="46"/>
        <v>0</v>
      </c>
      <c r="L35" s="19">
        <f t="shared" si="37"/>
        <v>0</v>
      </c>
      <c r="M35" s="19">
        <f t="shared" si="47"/>
        <v>0</v>
      </c>
      <c r="N35" s="17"/>
      <c r="O35" s="18">
        <f t="shared" si="39"/>
        <v>0</v>
      </c>
      <c r="P35" s="17"/>
      <c r="Q35" s="18">
        <f t="shared" si="50"/>
        <v>0</v>
      </c>
      <c r="R35" s="17"/>
      <c r="S35" s="18">
        <f t="shared" si="48"/>
        <v>0</v>
      </c>
      <c r="T35" s="17">
        <f t="shared" si="40"/>
        <v>0</v>
      </c>
      <c r="U35" s="18">
        <f t="shared" si="41"/>
        <v>0</v>
      </c>
      <c r="V35" s="18">
        <f t="shared" si="49"/>
        <v>0</v>
      </c>
    </row>
    <row r="36" spans="1:22" hidden="1" x14ac:dyDescent="0.25">
      <c r="A36" s="16">
        <f t="shared" si="51"/>
        <v>17</v>
      </c>
      <c r="B36" s="17"/>
      <c r="C36" s="17"/>
      <c r="D36" s="16"/>
      <c r="E36" s="16"/>
      <c r="F36" s="18"/>
      <c r="G36" s="18">
        <f t="shared" si="35"/>
        <v>0</v>
      </c>
      <c r="H36" s="17"/>
      <c r="I36" s="18"/>
      <c r="J36" s="18">
        <f t="shared" si="43"/>
        <v>0</v>
      </c>
      <c r="K36" s="16">
        <f t="shared" si="46"/>
        <v>0</v>
      </c>
      <c r="L36" s="19">
        <f t="shared" si="37"/>
        <v>0</v>
      </c>
      <c r="M36" s="19">
        <f t="shared" si="47"/>
        <v>0</v>
      </c>
      <c r="N36" s="17"/>
      <c r="O36" s="18">
        <f t="shared" si="39"/>
        <v>0</v>
      </c>
      <c r="P36" s="17"/>
      <c r="Q36" s="18">
        <f t="shared" si="50"/>
        <v>0</v>
      </c>
      <c r="R36" s="17"/>
      <c r="S36" s="18">
        <f t="shared" si="48"/>
        <v>0</v>
      </c>
      <c r="T36" s="17">
        <f t="shared" si="40"/>
        <v>0</v>
      </c>
      <c r="U36" s="18">
        <f t="shared" si="41"/>
        <v>0</v>
      </c>
      <c r="V36" s="18">
        <f t="shared" si="49"/>
        <v>0</v>
      </c>
    </row>
    <row r="37" spans="1:22" hidden="1" x14ac:dyDescent="0.25">
      <c r="A37" s="16">
        <f t="shared" si="51"/>
        <v>18</v>
      </c>
      <c r="B37" s="17"/>
      <c r="C37" s="17"/>
      <c r="D37" s="16"/>
      <c r="E37" s="16"/>
      <c r="F37" s="18"/>
      <c r="G37" s="18">
        <f t="shared" si="35"/>
        <v>0</v>
      </c>
      <c r="H37" s="17"/>
      <c r="I37" s="18"/>
      <c r="J37" s="18">
        <f t="shared" si="43"/>
        <v>0</v>
      </c>
      <c r="K37" s="16">
        <f t="shared" si="46"/>
        <v>0</v>
      </c>
      <c r="L37" s="19">
        <f t="shared" si="37"/>
        <v>0</v>
      </c>
      <c r="M37" s="19">
        <f t="shared" si="47"/>
        <v>0</v>
      </c>
      <c r="N37" s="17"/>
      <c r="O37" s="18">
        <f t="shared" si="39"/>
        <v>0</v>
      </c>
      <c r="P37" s="17"/>
      <c r="Q37" s="18">
        <f t="shared" si="50"/>
        <v>0</v>
      </c>
      <c r="R37" s="17"/>
      <c r="S37" s="18">
        <f t="shared" si="48"/>
        <v>0</v>
      </c>
      <c r="T37" s="17">
        <f t="shared" si="40"/>
        <v>0</v>
      </c>
      <c r="U37" s="18">
        <f t="shared" si="41"/>
        <v>0</v>
      </c>
      <c r="V37" s="18">
        <f t="shared" si="49"/>
        <v>0</v>
      </c>
    </row>
    <row r="38" spans="1:22" s="3" customFormat="1" ht="18.75" customHeight="1" x14ac:dyDescent="0.3">
      <c r="A38" s="5"/>
      <c r="B38" s="5" t="s">
        <v>31</v>
      </c>
      <c r="C38" s="5"/>
      <c r="D38" s="5">
        <f>+SUM(D20:D24)</f>
        <v>96</v>
      </c>
      <c r="E38" s="23">
        <f>+SUM(E20:E24)</f>
        <v>61</v>
      </c>
      <c r="F38" s="23"/>
      <c r="G38" s="24">
        <f>+SUM(G20:G37)</f>
        <v>34.21</v>
      </c>
      <c r="H38" s="23">
        <f t="shared" ref="H38" si="52">+SUM(H20:H37)</f>
        <v>0</v>
      </c>
      <c r="I38" s="23"/>
      <c r="J38" s="24">
        <f t="shared" ref="J38:K38" si="53">+SUM(J20:J37)</f>
        <v>0</v>
      </c>
      <c r="K38" s="23">
        <f t="shared" si="53"/>
        <v>61</v>
      </c>
      <c r="L38" s="23"/>
      <c r="M38" s="24">
        <f t="shared" ref="M38:O38" si="54">+SUM(M20:M37)</f>
        <v>34.21</v>
      </c>
      <c r="N38" s="23">
        <f t="shared" si="54"/>
        <v>0</v>
      </c>
      <c r="O38" s="24">
        <f t="shared" si="54"/>
        <v>0</v>
      </c>
      <c r="P38" s="23">
        <f t="shared" ref="P38" si="55">+SUM(P20:P37)</f>
        <v>0</v>
      </c>
      <c r="Q38" s="24">
        <f t="shared" ref="Q38:R38" si="56">+SUM(Q20:Q37)</f>
        <v>0</v>
      </c>
      <c r="R38" s="23">
        <f t="shared" si="56"/>
        <v>0</v>
      </c>
      <c r="S38" s="24">
        <f t="shared" ref="S38:T38" si="57">+SUM(S20:S37)</f>
        <v>0</v>
      </c>
      <c r="T38" s="23">
        <f t="shared" si="57"/>
        <v>61</v>
      </c>
      <c r="U38" s="23"/>
      <c r="V38" s="24">
        <f t="shared" ref="V38" si="58">+SUM(V20:V37)</f>
        <v>34.21</v>
      </c>
    </row>
    <row r="39" spans="1:22" s="3" customFormat="1" ht="21.75" customHeight="1" x14ac:dyDescent="0.3">
      <c r="A39" s="5"/>
      <c r="B39" s="5" t="s">
        <v>32</v>
      </c>
      <c r="C39" s="5"/>
      <c r="D39" s="5">
        <f>+SUM(D8:D38)/2</f>
        <v>480</v>
      </c>
      <c r="E39" s="23">
        <f>+SUM(E7:E38)/2</f>
        <v>180</v>
      </c>
      <c r="F39" s="23"/>
      <c r="G39" s="24">
        <f>+SUM(G7:G38)/2</f>
        <v>70.065833333333345</v>
      </c>
      <c r="H39" s="23">
        <f>+SUM(H7:H38)/2</f>
        <v>0</v>
      </c>
      <c r="I39" s="23"/>
      <c r="J39" s="24">
        <f>+SUM(J7:J38)/2</f>
        <v>0</v>
      </c>
      <c r="K39" s="23">
        <f>+SUM(K7:K38)/2</f>
        <v>180</v>
      </c>
      <c r="L39" s="23"/>
      <c r="M39" s="24">
        <f t="shared" ref="M39:T39" si="59">+SUM(M7:M38)/2</f>
        <v>70.065833333333345</v>
      </c>
      <c r="N39" s="23">
        <f t="shared" si="59"/>
        <v>0</v>
      </c>
      <c r="O39" s="24">
        <f t="shared" si="59"/>
        <v>0</v>
      </c>
      <c r="P39" s="23">
        <f t="shared" si="59"/>
        <v>0</v>
      </c>
      <c r="Q39" s="24">
        <f t="shared" si="59"/>
        <v>0</v>
      </c>
      <c r="R39" s="23">
        <f t="shared" si="59"/>
        <v>1</v>
      </c>
      <c r="S39" s="24">
        <f t="shared" si="59"/>
        <v>0.14833333333333334</v>
      </c>
      <c r="T39" s="23">
        <f t="shared" si="59"/>
        <v>179</v>
      </c>
      <c r="U39" s="23"/>
      <c r="V39" s="24">
        <f>+SUM(V7:V38)/2</f>
        <v>69.917500000000004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29">
    <mergeCell ref="T4:V4"/>
    <mergeCell ref="A2:V2"/>
    <mergeCell ref="R5:S5"/>
    <mergeCell ref="T5:V5"/>
    <mergeCell ref="R6:S6"/>
    <mergeCell ref="N5:O5"/>
    <mergeCell ref="P5:Q5"/>
    <mergeCell ref="N6:O6"/>
    <mergeCell ref="P6:Q6"/>
    <mergeCell ref="E5:G5"/>
    <mergeCell ref="E6:G6"/>
    <mergeCell ref="H5:J5"/>
    <mergeCell ref="H6:J6"/>
    <mergeCell ref="K5:M5"/>
    <mergeCell ref="K6:M6"/>
    <mergeCell ref="A47:B47"/>
    <mergeCell ref="H47:M47"/>
    <mergeCell ref="R47:V47"/>
    <mergeCell ref="B5:C5"/>
    <mergeCell ref="A5:A6"/>
    <mergeCell ref="D5:D6"/>
    <mergeCell ref="T6:V6"/>
    <mergeCell ref="W20:X20"/>
    <mergeCell ref="W6:Z6"/>
    <mergeCell ref="AA6:AB6"/>
    <mergeCell ref="W5:AB5"/>
    <mergeCell ref="A41:B41"/>
    <mergeCell ref="H41:M41"/>
    <mergeCell ref="R41:V41"/>
  </mergeCells>
  <pageMargins left="0.12" right="0.12" top="0.26" bottom="0.12" header="0.3" footer="0.12"/>
  <pageSetup paperSize="9" scale="7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88CD-43F9-4EEE-A1E8-FE68D3D7E77A}">
  <dimension ref="A2:AB47"/>
  <sheetViews>
    <sheetView view="pageBreakPreview" zoomScale="95" zoomScaleNormal="100" zoomScaleSheetLayoutView="95" workbookViewId="0">
      <pane xSplit="2" ySplit="7" topLeftCell="C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4.5546875" style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109375" style="1" customWidth="1"/>
    <col min="8" max="8" width="7.5546875" style="1" customWidth="1"/>
    <col min="9" max="9" width="7.33203125" style="4" customWidth="1"/>
    <col min="10" max="10" width="9.109375" style="1"/>
    <col min="11" max="11" width="9.109375" style="2"/>
    <col min="12" max="12" width="9.109375" style="4" customWidth="1"/>
    <col min="13" max="13" width="10.88671875" style="1" customWidth="1"/>
    <col min="14" max="14" width="7.88671875" style="1" customWidth="1"/>
    <col min="15" max="15" width="9.109375" style="4"/>
    <col min="16" max="16" width="8.33203125" style="1" hidden="1" customWidth="1"/>
    <col min="17" max="17" width="0" style="4" hidden="1" customWidth="1"/>
    <col min="18" max="18" width="7.88671875" style="1" customWidth="1"/>
    <col min="19" max="19" width="9.6640625" style="4" customWidth="1"/>
    <col min="20" max="20" width="9.88671875" style="1" customWidth="1"/>
    <col min="21" max="21" width="9.109375" style="4"/>
    <col min="22" max="22" width="10.44140625" style="4" customWidth="1"/>
    <col min="23" max="23" width="9.109375" style="1"/>
    <col min="24" max="24" width="23.44140625" style="1" customWidth="1"/>
    <col min="25" max="25" width="9.109375" style="1" customWidth="1"/>
    <col min="26" max="26" width="10.5546875" style="1" customWidth="1"/>
    <col min="27" max="27" width="8.44140625" style="2" customWidth="1"/>
    <col min="28" max="16384" width="9.109375" style="1"/>
  </cols>
  <sheetData>
    <row r="2" spans="1:28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8" ht="21" x14ac:dyDescent="0.4">
      <c r="S4" s="4" t="s">
        <v>37</v>
      </c>
      <c r="T4" s="83">
        <f>+'01'!T4+1</f>
        <v>45840</v>
      </c>
      <c r="U4" s="83"/>
      <c r="V4" s="83"/>
      <c r="W4" s="82" t="s">
        <v>56</v>
      </c>
      <c r="X4" s="82"/>
      <c r="Y4" s="82"/>
      <c r="Z4" s="82"/>
      <c r="AA4" s="82"/>
      <c r="AB4" s="82"/>
    </row>
    <row r="5" spans="1:28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</row>
    <row r="6" spans="1:28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8" s="3" customFormat="1" ht="24.75" customHeight="1" x14ac:dyDescent="0.5">
      <c r="A7" s="5"/>
      <c r="B7" s="5" t="str">
        <f>'01'!B7</f>
        <v xml:space="preserve">Soft Drink </v>
      </c>
      <c r="C7" s="44" t="s">
        <v>59</v>
      </c>
      <c r="D7" s="5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8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+'01'!T8</f>
        <v>1</v>
      </c>
      <c r="F8" s="17">
        <f>+'01'!U8</f>
        <v>0.36249999999999999</v>
      </c>
      <c r="G8" s="17">
        <f>+'01'!V8</f>
        <v>0.36249999999999999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0.36249999999999999</v>
      </c>
      <c r="M8" s="19">
        <f t="shared" ref="M8:M14" si="2">+J8+G8</f>
        <v>0.36249999999999999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1</v>
      </c>
      <c r="U8" s="18">
        <f t="shared" ref="U8:U14" si="5">IF(T8=0,,V8/T8)</f>
        <v>0.36249999999999999</v>
      </c>
      <c r="V8" s="18">
        <f t="shared" ref="V8:V14" si="6">+T8*L8</f>
        <v>0.36249999999999999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8">
        <f>+Y8+'01'!AA8</f>
        <v>0</v>
      </c>
      <c r="AB8" s="30">
        <f>+Z8+'01'!AB8</f>
        <v>0</v>
      </c>
    </row>
    <row r="9" spans="1:28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+'01'!T9</f>
        <v>18</v>
      </c>
      <c r="F9" s="17">
        <f>+'01'!U9</f>
        <v>0.36249999999999999</v>
      </c>
      <c r="G9" s="17">
        <f>+'01'!V9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8">
        <f>+Y9+'01'!AA9</f>
        <v>0</v>
      </c>
      <c r="AB9" s="30">
        <f>+Z9+'01'!AB9</f>
        <v>0</v>
      </c>
    </row>
    <row r="10" spans="1:28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+'01'!T10</f>
        <v>11</v>
      </c>
      <c r="F10" s="17">
        <f>+'01'!U10</f>
        <v>0.36249999999999999</v>
      </c>
      <c r="G10" s="17">
        <f>+'01'!V10</f>
        <v>3.9874999999999998</v>
      </c>
      <c r="H10" s="17"/>
      <c r="I10" s="18"/>
      <c r="J10" s="18">
        <f t="shared" ref="J10:J14" si="11">+H10*I10</f>
        <v>0</v>
      </c>
      <c r="K10" s="16">
        <f t="shared" si="0"/>
        <v>11</v>
      </c>
      <c r="L10" s="19">
        <f t="shared" si="1"/>
        <v>0.36249999999999999</v>
      </c>
      <c r="M10" s="19">
        <f t="shared" si="2"/>
        <v>3.9874999999999998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11</v>
      </c>
      <c r="U10" s="18">
        <f t="shared" si="5"/>
        <v>0.36249999999999999</v>
      </c>
      <c r="V10" s="18">
        <f t="shared" si="6"/>
        <v>3.9874999999999998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8">
        <f>+Y10+'01'!AA10</f>
        <v>0</v>
      </c>
      <c r="AB10" s="30">
        <f>+Z10+'01'!AB10</f>
        <v>0</v>
      </c>
    </row>
    <row r="11" spans="1:28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+'01'!T11</f>
        <v>2</v>
      </c>
      <c r="F11" s="17">
        <f>+'01'!U11</f>
        <v>0.36249999999999999</v>
      </c>
      <c r="G11" s="17">
        <f>+'01'!V11</f>
        <v>0.72499999999999998</v>
      </c>
      <c r="H11" s="17"/>
      <c r="I11" s="18"/>
      <c r="J11" s="18">
        <f t="shared" si="11"/>
        <v>0</v>
      </c>
      <c r="K11" s="16">
        <f t="shared" si="0"/>
        <v>2</v>
      </c>
      <c r="L11" s="19">
        <f t="shared" si="1"/>
        <v>0.36249999999999999</v>
      </c>
      <c r="M11" s="19">
        <f t="shared" si="2"/>
        <v>0.72499999999999998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</v>
      </c>
      <c r="U11" s="18">
        <f t="shared" si="5"/>
        <v>0.36249999999999999</v>
      </c>
      <c r="V11" s="18">
        <f t="shared" si="6"/>
        <v>0.72499999999999998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8">
        <f>+Y11+'01'!AA11</f>
        <v>0</v>
      </c>
      <c r="AB11" s="30">
        <f>+Z11+'01'!AB11</f>
        <v>0</v>
      </c>
    </row>
    <row r="12" spans="1:28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+'01'!T12</f>
        <v>14</v>
      </c>
      <c r="F12" s="17">
        <f>+'01'!U12</f>
        <v>0.36249999999999999</v>
      </c>
      <c r="G12" s="17">
        <f>+'01'!V12</f>
        <v>5.0750000000000002</v>
      </c>
      <c r="H12" s="17"/>
      <c r="I12" s="18"/>
      <c r="J12" s="18">
        <f t="shared" si="11"/>
        <v>0</v>
      </c>
      <c r="K12" s="16">
        <f t="shared" si="0"/>
        <v>14</v>
      </c>
      <c r="L12" s="19">
        <f t="shared" si="1"/>
        <v>0.36249999999999999</v>
      </c>
      <c r="M12" s="19">
        <f t="shared" si="2"/>
        <v>5.0750000000000002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14</v>
      </c>
      <c r="U12" s="18">
        <f t="shared" si="5"/>
        <v>0.36249999999999999</v>
      </c>
      <c r="V12" s="18">
        <f t="shared" si="6"/>
        <v>5.0750000000000002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8">
        <f>+Y12+'01'!AA12</f>
        <v>0</v>
      </c>
      <c r="AB12" s="30">
        <f>+Z12+'01'!AB12</f>
        <v>0</v>
      </c>
    </row>
    <row r="13" spans="1:28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+'01'!T13</f>
        <v>19</v>
      </c>
      <c r="F13" s="17">
        <f>+'01'!U13</f>
        <v>0.36249999999999999</v>
      </c>
      <c r="G13" s="17">
        <f>+'01'!V13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8">
        <f>+Y13+'01'!AA13</f>
        <v>0</v>
      </c>
      <c r="AB13" s="30">
        <f>+Z13+'01'!AB13</f>
        <v>0</v>
      </c>
    </row>
    <row r="14" spans="1:28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+'01'!T14</f>
        <v>20</v>
      </c>
      <c r="F14" s="17">
        <f>+'01'!U14</f>
        <v>0.36249999999999999</v>
      </c>
      <c r="G14" s="17">
        <f>+'01'!V14</f>
        <v>7.25</v>
      </c>
      <c r="H14" s="17"/>
      <c r="I14" s="18"/>
      <c r="J14" s="18">
        <f t="shared" si="11"/>
        <v>0</v>
      </c>
      <c r="K14" s="16">
        <f t="shared" si="0"/>
        <v>20</v>
      </c>
      <c r="L14" s="19">
        <f t="shared" si="1"/>
        <v>0.36249999999999999</v>
      </c>
      <c r="M14" s="19">
        <f t="shared" si="2"/>
        <v>7.25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20</v>
      </c>
      <c r="U14" s="18">
        <f t="shared" si="5"/>
        <v>0.36249999999999999</v>
      </c>
      <c r="V14" s="18">
        <f t="shared" si="6"/>
        <v>7.25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8">
        <f>+Y14+'01'!AA14</f>
        <v>0</v>
      </c>
      <c r="AB14" s="30">
        <f>+Z14+'01'!AB14</f>
        <v>0</v>
      </c>
    </row>
    <row r="15" spans="1:28" s="3" customFormat="1" ht="16.5" customHeight="1" x14ac:dyDescent="0.25">
      <c r="A15" s="5"/>
      <c r="B15" s="5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85</v>
      </c>
      <c r="F15" s="5"/>
      <c r="G15" s="22">
        <f>+SUM(G8:G14)</f>
        <v>30.8125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85</v>
      </c>
      <c r="L15" s="5"/>
      <c r="M15" s="22">
        <f t="shared" ref="M15:T15" si="13">+SUM(M8:M14)</f>
        <v>30.8125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85</v>
      </c>
      <c r="U15" s="5"/>
      <c r="V15" s="22">
        <f t="shared" ref="V15" si="14">+SUM(V8:V14)</f>
        <v>30.8125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8">
        <f>+Y15+'01'!AA15</f>
        <v>1</v>
      </c>
      <c r="AB15" s="30">
        <f>+Z15+'01'!AB15</f>
        <v>0.5</v>
      </c>
    </row>
    <row r="16" spans="1:28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8">
        <f>+Y16+'01'!AA16</f>
        <v>0</v>
      </c>
      <c r="AB16" s="30">
        <f>+Z16+'01'!AB16</f>
        <v>0</v>
      </c>
    </row>
    <row r="17" spans="1:28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+'01'!T17</f>
        <v>33</v>
      </c>
      <c r="F17" s="17">
        <f>+'01'!U17</f>
        <v>0.14833333333333334</v>
      </c>
      <c r="G17" s="17">
        <f>+'01'!V17</f>
        <v>4.8950000000000005</v>
      </c>
      <c r="H17" s="17"/>
      <c r="I17" s="18"/>
      <c r="J17" s="18">
        <f t="shared" ref="J17" si="15">+H17*I17</f>
        <v>0</v>
      </c>
      <c r="K17" s="16">
        <f>+E17+H17</f>
        <v>33</v>
      </c>
      <c r="L17" s="19">
        <f t="shared" ref="L17" si="16">IF(K17=0,,M17/K17)</f>
        <v>0.14833333333333334</v>
      </c>
      <c r="M17" s="19">
        <f>+J17+G17</f>
        <v>4.8950000000000005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>+R17*L17</f>
        <v>0</v>
      </c>
      <c r="T17" s="17">
        <f t="shared" ref="T17" si="19">+K17-N17-P17-R17</f>
        <v>33</v>
      </c>
      <c r="U17" s="18">
        <f t="shared" ref="U17" si="20">IF(T17=0,,V17/T17)</f>
        <v>0.14833333333333334</v>
      </c>
      <c r="V17" s="18">
        <f t="shared" ref="V17" si="21">+T17*L17</f>
        <v>4.8950000000000005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8">
        <f>+Y17+'01'!AA17</f>
        <v>0</v>
      </c>
      <c r="AB17" s="30">
        <f>+Z17+'01'!AB17</f>
        <v>0</v>
      </c>
    </row>
    <row r="18" spans="1:28" s="3" customFormat="1" ht="24.75" customHeight="1" x14ac:dyDescent="0.25">
      <c r="A18" s="5"/>
      <c r="B18" s="5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33</v>
      </c>
      <c r="F18" s="5"/>
      <c r="G18" s="22">
        <f>+G17</f>
        <v>4.8950000000000005</v>
      </c>
      <c r="H18" s="5">
        <f t="shared" ref="H18" si="22">+H17</f>
        <v>0</v>
      </c>
      <c r="I18" s="5"/>
      <c r="J18" s="22">
        <f t="shared" ref="J18:K18" si="23">+J17</f>
        <v>0</v>
      </c>
      <c r="K18" s="5">
        <f t="shared" si="23"/>
        <v>33</v>
      </c>
      <c r="L18" s="5"/>
      <c r="M18" s="22">
        <f t="shared" ref="M18:T18" si="24">+M17</f>
        <v>4.8950000000000005</v>
      </c>
      <c r="N18" s="5">
        <f t="shared" si="24"/>
        <v>0</v>
      </c>
      <c r="O18" s="22">
        <f t="shared" si="24"/>
        <v>0</v>
      </c>
      <c r="P18" s="5">
        <f t="shared" si="24"/>
        <v>0</v>
      </c>
      <c r="Q18" s="22">
        <f t="shared" si="24"/>
        <v>0</v>
      </c>
      <c r="R18" s="5">
        <f t="shared" si="24"/>
        <v>0</v>
      </c>
      <c r="S18" s="22">
        <f t="shared" si="24"/>
        <v>0</v>
      </c>
      <c r="T18" s="5">
        <f t="shared" si="24"/>
        <v>33</v>
      </c>
      <c r="U18" s="5"/>
      <c r="V18" s="22">
        <f t="shared" ref="V18" si="25">+V17</f>
        <v>4.8950000000000005</v>
      </c>
      <c r="Y18" s="34">
        <f>+$R$22</f>
        <v>0</v>
      </c>
      <c r="Z18" s="26">
        <f t="shared" si="7"/>
        <v>0</v>
      </c>
      <c r="AA18" s="38">
        <f>+Y18+'01'!AA18</f>
        <v>0</v>
      </c>
      <c r="AB18" s="30">
        <f>+Z18+'01'!AB18</f>
        <v>0</v>
      </c>
    </row>
    <row r="19" spans="1:28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8">
        <f>+Y19+'01'!AA19</f>
        <v>0</v>
      </c>
      <c r="AB19" s="30">
        <f>+Z19+'01'!AB19</f>
        <v>0</v>
      </c>
    </row>
    <row r="20" spans="1:28" x14ac:dyDescent="0.25">
      <c r="A20" s="16">
        <f t="shared" ref="A20:A28" si="26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+'01'!T20</f>
        <v>32</v>
      </c>
      <c r="F20" s="17">
        <f>+'01'!U20</f>
        <v>0.48</v>
      </c>
      <c r="G20" s="17">
        <f>+'01'!V20</f>
        <v>15.36</v>
      </c>
      <c r="H20" s="17"/>
      <c r="I20" s="18"/>
      <c r="J20" s="18">
        <f t="shared" ref="J20:J37" si="27">+H20*I20</f>
        <v>0</v>
      </c>
      <c r="K20" s="16">
        <f t="shared" ref="K20:K26" si="28">+E20+H20</f>
        <v>32</v>
      </c>
      <c r="L20" s="19">
        <f t="shared" ref="L20:L37" si="29">IF(K20=0,,M20/K20)</f>
        <v>0.48</v>
      </c>
      <c r="M20" s="19">
        <f t="shared" ref="M20:M26" si="30">+J20+G20</f>
        <v>15.36</v>
      </c>
      <c r="N20" s="17"/>
      <c r="O20" s="18">
        <f t="shared" ref="O20:O37" si="31">+N20*L20</f>
        <v>0</v>
      </c>
      <c r="P20" s="17"/>
      <c r="Q20" s="18">
        <f>+P20*L20</f>
        <v>0</v>
      </c>
      <c r="R20" s="17"/>
      <c r="S20" s="18">
        <f t="shared" ref="S20:S26" si="32">+R20*L20</f>
        <v>0</v>
      </c>
      <c r="T20" s="17">
        <f t="shared" ref="T20:T37" si="33">+K20-N20-P20-R20</f>
        <v>32</v>
      </c>
      <c r="U20" s="18">
        <f t="shared" ref="U20:U37" si="34">IF(T20=0,,V20/T20)</f>
        <v>0.48</v>
      </c>
      <c r="V20" s="18">
        <f t="shared" ref="V20:V26" si="35">+T20*L20</f>
        <v>15.36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1</v>
      </c>
      <c r="AB20" s="31">
        <f>+SUM(AB8:AB19)</f>
        <v>0.5</v>
      </c>
    </row>
    <row r="21" spans="1:28" x14ac:dyDescent="0.25">
      <c r="A21" s="16">
        <f t="shared" si="26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+'01'!T21</f>
        <v>29</v>
      </c>
      <c r="F21" s="17">
        <f>+'01'!U21</f>
        <v>0.65</v>
      </c>
      <c r="G21" s="17">
        <f>+'01'!V21</f>
        <v>18.850000000000001</v>
      </c>
      <c r="H21" s="17"/>
      <c r="I21" s="18"/>
      <c r="J21" s="18">
        <f t="shared" si="27"/>
        <v>0</v>
      </c>
      <c r="K21" s="16">
        <f t="shared" si="28"/>
        <v>29</v>
      </c>
      <c r="L21" s="19">
        <f t="shared" si="29"/>
        <v>0.65</v>
      </c>
      <c r="M21" s="19">
        <f t="shared" si="30"/>
        <v>18.850000000000001</v>
      </c>
      <c r="N21" s="17"/>
      <c r="O21" s="18">
        <f t="shared" si="31"/>
        <v>0</v>
      </c>
      <c r="P21" s="17"/>
      <c r="Q21" s="18">
        <f t="shared" ref="Q21:Q37" si="36">+P21*L21</f>
        <v>0</v>
      </c>
      <c r="R21" s="17"/>
      <c r="S21" s="18">
        <f t="shared" si="32"/>
        <v>0</v>
      </c>
      <c r="T21" s="17">
        <f t="shared" si="33"/>
        <v>29</v>
      </c>
      <c r="U21" s="18">
        <f t="shared" si="34"/>
        <v>0.65</v>
      </c>
      <c r="V21" s="18">
        <f t="shared" si="35"/>
        <v>18.850000000000001</v>
      </c>
    </row>
    <row r="22" spans="1:28" x14ac:dyDescent="0.25">
      <c r="A22" s="16">
        <f t="shared" si="26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+'01'!T22</f>
        <v>0</v>
      </c>
      <c r="F22" s="17">
        <f>+'01'!U22</f>
        <v>0</v>
      </c>
      <c r="G22" s="17">
        <f>+'01'!V22</f>
        <v>0</v>
      </c>
      <c r="H22" s="17"/>
      <c r="I22" s="18"/>
      <c r="J22" s="18">
        <f t="shared" si="27"/>
        <v>0</v>
      </c>
      <c r="K22" s="16">
        <f t="shared" si="28"/>
        <v>0</v>
      </c>
      <c r="L22" s="19">
        <f t="shared" si="29"/>
        <v>0</v>
      </c>
      <c r="M22" s="19">
        <f t="shared" si="30"/>
        <v>0</v>
      </c>
      <c r="N22" s="17"/>
      <c r="O22" s="18">
        <f t="shared" si="31"/>
        <v>0</v>
      </c>
      <c r="P22" s="17"/>
      <c r="Q22" s="18">
        <f t="shared" si="36"/>
        <v>0</v>
      </c>
      <c r="R22" s="17"/>
      <c r="S22" s="18">
        <f t="shared" si="32"/>
        <v>0</v>
      </c>
      <c r="T22" s="17">
        <f t="shared" si="33"/>
        <v>0</v>
      </c>
      <c r="U22" s="18">
        <f t="shared" si="34"/>
        <v>0</v>
      </c>
      <c r="V22" s="18">
        <f t="shared" si="35"/>
        <v>0</v>
      </c>
    </row>
    <row r="23" spans="1:28" x14ac:dyDescent="0.25">
      <c r="A23" s="16">
        <f t="shared" si="26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+'01'!T23</f>
        <v>0</v>
      </c>
      <c r="F23" s="17">
        <f>+'01'!U23</f>
        <v>0</v>
      </c>
      <c r="G23" s="17">
        <f>+'01'!V23</f>
        <v>0</v>
      </c>
      <c r="H23" s="17"/>
      <c r="I23" s="18"/>
      <c r="J23" s="18">
        <f t="shared" si="27"/>
        <v>0</v>
      </c>
      <c r="K23" s="16">
        <f t="shared" si="28"/>
        <v>0</v>
      </c>
      <c r="L23" s="19">
        <f t="shared" si="29"/>
        <v>0</v>
      </c>
      <c r="M23" s="19">
        <f t="shared" si="30"/>
        <v>0</v>
      </c>
      <c r="N23" s="17"/>
      <c r="O23" s="18">
        <f t="shared" si="31"/>
        <v>0</v>
      </c>
      <c r="P23" s="17"/>
      <c r="Q23" s="18">
        <f t="shared" si="36"/>
        <v>0</v>
      </c>
      <c r="R23" s="17"/>
      <c r="S23" s="18">
        <f t="shared" si="32"/>
        <v>0</v>
      </c>
      <c r="T23" s="17">
        <f t="shared" si="33"/>
        <v>0</v>
      </c>
      <c r="U23" s="18">
        <f t="shared" si="34"/>
        <v>0</v>
      </c>
      <c r="V23" s="18">
        <f t="shared" si="35"/>
        <v>0</v>
      </c>
    </row>
    <row r="24" spans="1:28" x14ac:dyDescent="0.25">
      <c r="A24" s="16">
        <f t="shared" si="26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+'01'!T24</f>
        <v>0</v>
      </c>
      <c r="F24" s="17">
        <f>+'01'!U24</f>
        <v>0</v>
      </c>
      <c r="G24" s="17">
        <f>+'01'!V24</f>
        <v>0</v>
      </c>
      <c r="H24" s="17"/>
      <c r="I24" s="18"/>
      <c r="J24" s="18">
        <f t="shared" si="27"/>
        <v>0</v>
      </c>
      <c r="K24" s="16">
        <f t="shared" si="28"/>
        <v>0</v>
      </c>
      <c r="L24" s="19">
        <f t="shared" si="29"/>
        <v>0</v>
      </c>
      <c r="M24" s="19">
        <f t="shared" si="30"/>
        <v>0</v>
      </c>
      <c r="N24" s="17"/>
      <c r="O24" s="18">
        <f t="shared" si="31"/>
        <v>0</v>
      </c>
      <c r="P24" s="17"/>
      <c r="Q24" s="18">
        <f t="shared" si="36"/>
        <v>0</v>
      </c>
      <c r="R24" s="17"/>
      <c r="S24" s="18">
        <f t="shared" si="32"/>
        <v>0</v>
      </c>
      <c r="T24" s="17">
        <f t="shared" si="33"/>
        <v>0</v>
      </c>
      <c r="U24" s="18">
        <f t="shared" si="34"/>
        <v>0</v>
      </c>
      <c r="V24" s="18">
        <f t="shared" si="35"/>
        <v>0</v>
      </c>
    </row>
    <row r="25" spans="1:28" hidden="1" x14ac:dyDescent="0.25">
      <c r="A25" s="16">
        <f t="shared" si="26"/>
        <v>6</v>
      </c>
      <c r="B25" s="17"/>
      <c r="C25" s="17"/>
      <c r="D25" s="16">
        <f>'01'!D25</f>
        <v>0</v>
      </c>
      <c r="E25" s="17">
        <f>+'01'!T25</f>
        <v>0</v>
      </c>
      <c r="F25" s="17">
        <f>+'01'!U25</f>
        <v>0</v>
      </c>
      <c r="G25" s="17">
        <f>+'01'!V25</f>
        <v>0</v>
      </c>
      <c r="H25" s="17"/>
      <c r="I25" s="18"/>
      <c r="J25" s="18">
        <f t="shared" si="27"/>
        <v>0</v>
      </c>
      <c r="K25" s="16">
        <f t="shared" si="28"/>
        <v>0</v>
      </c>
      <c r="L25" s="19">
        <f t="shared" si="29"/>
        <v>0</v>
      </c>
      <c r="M25" s="19">
        <f t="shared" si="30"/>
        <v>0</v>
      </c>
      <c r="N25" s="17"/>
      <c r="O25" s="18">
        <f t="shared" si="31"/>
        <v>0</v>
      </c>
      <c r="P25" s="17"/>
      <c r="Q25" s="18">
        <f t="shared" si="36"/>
        <v>0</v>
      </c>
      <c r="R25" s="17"/>
      <c r="S25" s="18">
        <f t="shared" si="32"/>
        <v>0</v>
      </c>
      <c r="T25" s="17">
        <f t="shared" si="33"/>
        <v>0</v>
      </c>
      <c r="U25" s="18">
        <f t="shared" si="34"/>
        <v>0</v>
      </c>
      <c r="V25" s="18">
        <f t="shared" si="35"/>
        <v>0</v>
      </c>
    </row>
    <row r="26" spans="1:28" hidden="1" x14ac:dyDescent="0.25">
      <c r="A26" s="16">
        <f t="shared" si="26"/>
        <v>7</v>
      </c>
      <c r="B26" s="17"/>
      <c r="C26" s="17"/>
      <c r="D26" s="16">
        <f>'01'!D26</f>
        <v>0</v>
      </c>
      <c r="E26" s="17">
        <f>+'01'!T26</f>
        <v>0</v>
      </c>
      <c r="F26" s="17">
        <f>+'01'!U26</f>
        <v>0</v>
      </c>
      <c r="G26" s="17">
        <f>+'01'!V26</f>
        <v>0</v>
      </c>
      <c r="H26" s="17"/>
      <c r="I26" s="18"/>
      <c r="J26" s="18">
        <f t="shared" si="27"/>
        <v>0</v>
      </c>
      <c r="K26" s="16">
        <f t="shared" si="28"/>
        <v>0</v>
      </c>
      <c r="L26" s="19">
        <f t="shared" si="29"/>
        <v>0</v>
      </c>
      <c r="M26" s="19">
        <f t="shared" si="30"/>
        <v>0</v>
      </c>
      <c r="N26" s="17"/>
      <c r="O26" s="18">
        <f t="shared" si="31"/>
        <v>0</v>
      </c>
      <c r="P26" s="17"/>
      <c r="Q26" s="18">
        <f t="shared" si="36"/>
        <v>0</v>
      </c>
      <c r="R26" s="17"/>
      <c r="S26" s="18">
        <f t="shared" si="32"/>
        <v>0</v>
      </c>
      <c r="T26" s="17">
        <f t="shared" si="33"/>
        <v>0</v>
      </c>
      <c r="U26" s="18">
        <f t="shared" si="34"/>
        <v>0</v>
      </c>
      <c r="V26" s="18">
        <f t="shared" si="35"/>
        <v>0</v>
      </c>
    </row>
    <row r="27" spans="1:28" hidden="1" x14ac:dyDescent="0.25">
      <c r="A27" s="16">
        <f t="shared" si="26"/>
        <v>8</v>
      </c>
      <c r="B27" s="17"/>
      <c r="C27" s="17"/>
      <c r="D27" s="16">
        <f>'01'!D27</f>
        <v>0</v>
      </c>
      <c r="E27" s="17">
        <f>+'01'!T27</f>
        <v>0</v>
      </c>
      <c r="F27" s="17">
        <f>+'01'!U27</f>
        <v>0</v>
      </c>
      <c r="G27" s="17">
        <f>+'01'!V27</f>
        <v>0</v>
      </c>
      <c r="H27" s="17"/>
      <c r="I27" s="18"/>
      <c r="J27" s="18">
        <f t="shared" si="27"/>
        <v>0</v>
      </c>
      <c r="K27" s="16">
        <f t="shared" ref="K27:K37" si="37">+E27+H27</f>
        <v>0</v>
      </c>
      <c r="L27" s="19">
        <f t="shared" si="29"/>
        <v>0</v>
      </c>
      <c r="M27" s="19">
        <f t="shared" ref="M27:M37" si="38">+J27+G27</f>
        <v>0</v>
      </c>
      <c r="N27" s="17"/>
      <c r="O27" s="18">
        <f t="shared" si="31"/>
        <v>0</v>
      </c>
      <c r="P27" s="17"/>
      <c r="Q27" s="18">
        <f t="shared" si="36"/>
        <v>0</v>
      </c>
      <c r="R27" s="17"/>
      <c r="S27" s="18">
        <f t="shared" ref="S27:S37" si="39">+R27*L27</f>
        <v>0</v>
      </c>
      <c r="T27" s="17">
        <f t="shared" si="33"/>
        <v>0</v>
      </c>
      <c r="U27" s="18">
        <f t="shared" si="34"/>
        <v>0</v>
      </c>
      <c r="V27" s="18">
        <f t="shared" ref="V27:V37" si="40">+T27*L27</f>
        <v>0</v>
      </c>
    </row>
    <row r="28" spans="1:28" hidden="1" x14ac:dyDescent="0.25">
      <c r="A28" s="16">
        <f t="shared" si="26"/>
        <v>9</v>
      </c>
      <c r="B28" s="17"/>
      <c r="C28" s="17"/>
      <c r="D28" s="16">
        <f>'01'!D28</f>
        <v>0</v>
      </c>
      <c r="E28" s="17">
        <f>+'01'!T28</f>
        <v>0</v>
      </c>
      <c r="F28" s="17">
        <f>+'01'!U28</f>
        <v>0</v>
      </c>
      <c r="G28" s="17">
        <f>+'01'!V28</f>
        <v>0</v>
      </c>
      <c r="H28" s="17"/>
      <c r="I28" s="18"/>
      <c r="J28" s="18">
        <f t="shared" si="27"/>
        <v>0</v>
      </c>
      <c r="K28" s="16">
        <f t="shared" si="37"/>
        <v>0</v>
      </c>
      <c r="L28" s="19">
        <f t="shared" si="29"/>
        <v>0</v>
      </c>
      <c r="M28" s="19">
        <f t="shared" si="38"/>
        <v>0</v>
      </c>
      <c r="N28" s="17"/>
      <c r="O28" s="18">
        <f t="shared" si="31"/>
        <v>0</v>
      </c>
      <c r="P28" s="17"/>
      <c r="Q28" s="18">
        <f t="shared" si="36"/>
        <v>0</v>
      </c>
      <c r="R28" s="17"/>
      <c r="S28" s="18">
        <f t="shared" si="39"/>
        <v>0</v>
      </c>
      <c r="T28" s="17">
        <f t="shared" si="33"/>
        <v>0</v>
      </c>
      <c r="U28" s="18">
        <f t="shared" si="34"/>
        <v>0</v>
      </c>
      <c r="V28" s="18">
        <f t="shared" si="40"/>
        <v>0</v>
      </c>
    </row>
    <row r="29" spans="1:28" hidden="1" x14ac:dyDescent="0.25">
      <c r="A29" s="16">
        <f t="shared" ref="A29:A37" si="41">+A28+1</f>
        <v>10</v>
      </c>
      <c r="B29" s="17"/>
      <c r="C29" s="17"/>
      <c r="D29" s="16">
        <f>'01'!D29</f>
        <v>0</v>
      </c>
      <c r="E29" s="17">
        <f>+'01'!T29</f>
        <v>0</v>
      </c>
      <c r="F29" s="17">
        <f>+'01'!U29</f>
        <v>0</v>
      </c>
      <c r="G29" s="17">
        <f>+'01'!V29</f>
        <v>0</v>
      </c>
      <c r="H29" s="17"/>
      <c r="I29" s="18"/>
      <c r="J29" s="18">
        <f t="shared" si="27"/>
        <v>0</v>
      </c>
      <c r="K29" s="16">
        <f t="shared" si="37"/>
        <v>0</v>
      </c>
      <c r="L29" s="19">
        <f t="shared" si="29"/>
        <v>0</v>
      </c>
      <c r="M29" s="19">
        <f t="shared" si="38"/>
        <v>0</v>
      </c>
      <c r="N29" s="17"/>
      <c r="O29" s="18">
        <f t="shared" si="31"/>
        <v>0</v>
      </c>
      <c r="P29" s="17"/>
      <c r="Q29" s="18">
        <f t="shared" si="36"/>
        <v>0</v>
      </c>
      <c r="R29" s="17"/>
      <c r="S29" s="18">
        <f t="shared" si="39"/>
        <v>0</v>
      </c>
      <c r="T29" s="17">
        <f t="shared" si="33"/>
        <v>0</v>
      </c>
      <c r="U29" s="18">
        <f t="shared" si="34"/>
        <v>0</v>
      </c>
      <c r="V29" s="18">
        <f t="shared" si="40"/>
        <v>0</v>
      </c>
    </row>
    <row r="30" spans="1:28" hidden="1" x14ac:dyDescent="0.25">
      <c r="A30" s="16">
        <f t="shared" si="41"/>
        <v>11</v>
      </c>
      <c r="B30" s="17"/>
      <c r="C30" s="17"/>
      <c r="D30" s="16">
        <f>'01'!D30</f>
        <v>0</v>
      </c>
      <c r="E30" s="17">
        <f>+'01'!T30</f>
        <v>0</v>
      </c>
      <c r="F30" s="17">
        <f>+'01'!U30</f>
        <v>0</v>
      </c>
      <c r="G30" s="17">
        <f>+'01'!V30</f>
        <v>0</v>
      </c>
      <c r="H30" s="17"/>
      <c r="I30" s="18"/>
      <c r="J30" s="18">
        <f t="shared" si="27"/>
        <v>0</v>
      </c>
      <c r="K30" s="16">
        <f t="shared" si="37"/>
        <v>0</v>
      </c>
      <c r="L30" s="19">
        <f t="shared" si="29"/>
        <v>0</v>
      </c>
      <c r="M30" s="19">
        <f t="shared" si="38"/>
        <v>0</v>
      </c>
      <c r="N30" s="17"/>
      <c r="O30" s="18">
        <f t="shared" si="31"/>
        <v>0</v>
      </c>
      <c r="P30" s="17"/>
      <c r="Q30" s="18">
        <f t="shared" si="36"/>
        <v>0</v>
      </c>
      <c r="R30" s="17"/>
      <c r="S30" s="18">
        <f t="shared" si="39"/>
        <v>0</v>
      </c>
      <c r="T30" s="17">
        <f t="shared" si="33"/>
        <v>0</v>
      </c>
      <c r="U30" s="18">
        <f t="shared" si="34"/>
        <v>0</v>
      </c>
      <c r="V30" s="18">
        <f t="shared" si="40"/>
        <v>0</v>
      </c>
    </row>
    <row r="31" spans="1:28" hidden="1" x14ac:dyDescent="0.25">
      <c r="A31" s="16">
        <f t="shared" si="41"/>
        <v>12</v>
      </c>
      <c r="B31" s="17"/>
      <c r="C31" s="17"/>
      <c r="D31" s="16">
        <f>'01'!D31</f>
        <v>0</v>
      </c>
      <c r="E31" s="17">
        <f>+'01'!T31</f>
        <v>0</v>
      </c>
      <c r="F31" s="17">
        <f>+'01'!U31</f>
        <v>0</v>
      </c>
      <c r="G31" s="17">
        <f>+'01'!V31</f>
        <v>0</v>
      </c>
      <c r="H31" s="17"/>
      <c r="I31" s="18"/>
      <c r="J31" s="18">
        <f t="shared" si="27"/>
        <v>0</v>
      </c>
      <c r="K31" s="16">
        <f t="shared" si="37"/>
        <v>0</v>
      </c>
      <c r="L31" s="19">
        <f t="shared" si="29"/>
        <v>0</v>
      </c>
      <c r="M31" s="19">
        <f t="shared" si="38"/>
        <v>0</v>
      </c>
      <c r="N31" s="17"/>
      <c r="O31" s="18">
        <f t="shared" si="31"/>
        <v>0</v>
      </c>
      <c r="P31" s="17"/>
      <c r="Q31" s="18">
        <f t="shared" si="36"/>
        <v>0</v>
      </c>
      <c r="R31" s="17"/>
      <c r="S31" s="18">
        <f t="shared" si="39"/>
        <v>0</v>
      </c>
      <c r="T31" s="17">
        <f t="shared" si="33"/>
        <v>0</v>
      </c>
      <c r="U31" s="18">
        <f t="shared" si="34"/>
        <v>0</v>
      </c>
      <c r="V31" s="18">
        <f t="shared" si="40"/>
        <v>0</v>
      </c>
    </row>
    <row r="32" spans="1:28" hidden="1" x14ac:dyDescent="0.25">
      <c r="A32" s="16">
        <f t="shared" si="41"/>
        <v>13</v>
      </c>
      <c r="B32" s="17"/>
      <c r="C32" s="17"/>
      <c r="D32" s="16">
        <f>'01'!D32</f>
        <v>0</v>
      </c>
      <c r="E32" s="17">
        <f>+'01'!T32</f>
        <v>0</v>
      </c>
      <c r="F32" s="17">
        <f>+'01'!U32</f>
        <v>0</v>
      </c>
      <c r="G32" s="17">
        <f>+'01'!V32</f>
        <v>0</v>
      </c>
      <c r="H32" s="17"/>
      <c r="I32" s="18"/>
      <c r="J32" s="18">
        <f t="shared" si="27"/>
        <v>0</v>
      </c>
      <c r="K32" s="16">
        <f t="shared" si="37"/>
        <v>0</v>
      </c>
      <c r="L32" s="19">
        <f t="shared" si="29"/>
        <v>0</v>
      </c>
      <c r="M32" s="19">
        <f t="shared" si="38"/>
        <v>0</v>
      </c>
      <c r="N32" s="17"/>
      <c r="O32" s="18">
        <f t="shared" si="31"/>
        <v>0</v>
      </c>
      <c r="P32" s="17"/>
      <c r="Q32" s="18">
        <f t="shared" si="36"/>
        <v>0</v>
      </c>
      <c r="R32" s="17"/>
      <c r="S32" s="18">
        <f t="shared" si="39"/>
        <v>0</v>
      </c>
      <c r="T32" s="17">
        <f t="shared" si="33"/>
        <v>0</v>
      </c>
      <c r="U32" s="18">
        <f t="shared" si="34"/>
        <v>0</v>
      </c>
      <c r="V32" s="18">
        <f t="shared" si="40"/>
        <v>0</v>
      </c>
    </row>
    <row r="33" spans="1:22" hidden="1" x14ac:dyDescent="0.25">
      <c r="A33" s="16">
        <f t="shared" si="41"/>
        <v>14</v>
      </c>
      <c r="B33" s="17"/>
      <c r="C33" s="17"/>
      <c r="D33" s="16">
        <f>'01'!D33</f>
        <v>0</v>
      </c>
      <c r="E33" s="17">
        <f>+'01'!T33</f>
        <v>0</v>
      </c>
      <c r="F33" s="17">
        <f>+'01'!U33</f>
        <v>0</v>
      </c>
      <c r="G33" s="17">
        <f>+'01'!V33</f>
        <v>0</v>
      </c>
      <c r="H33" s="17"/>
      <c r="I33" s="18"/>
      <c r="J33" s="18">
        <f t="shared" si="27"/>
        <v>0</v>
      </c>
      <c r="K33" s="16">
        <f t="shared" si="37"/>
        <v>0</v>
      </c>
      <c r="L33" s="19">
        <f t="shared" si="29"/>
        <v>0</v>
      </c>
      <c r="M33" s="19">
        <f t="shared" si="38"/>
        <v>0</v>
      </c>
      <c r="N33" s="17"/>
      <c r="O33" s="18">
        <f t="shared" si="31"/>
        <v>0</v>
      </c>
      <c r="P33" s="17"/>
      <c r="Q33" s="18">
        <f t="shared" si="36"/>
        <v>0</v>
      </c>
      <c r="R33" s="17"/>
      <c r="S33" s="18">
        <f t="shared" si="39"/>
        <v>0</v>
      </c>
      <c r="T33" s="17">
        <f t="shared" si="33"/>
        <v>0</v>
      </c>
      <c r="U33" s="18">
        <f t="shared" si="34"/>
        <v>0</v>
      </c>
      <c r="V33" s="18">
        <f t="shared" si="40"/>
        <v>0</v>
      </c>
    </row>
    <row r="34" spans="1:22" hidden="1" x14ac:dyDescent="0.25">
      <c r="A34" s="16">
        <f t="shared" si="41"/>
        <v>15</v>
      </c>
      <c r="B34" s="17"/>
      <c r="C34" s="17"/>
      <c r="D34" s="16">
        <f>'01'!D34</f>
        <v>0</v>
      </c>
      <c r="E34" s="17">
        <f>+'01'!T34</f>
        <v>0</v>
      </c>
      <c r="F34" s="17">
        <f>+'01'!U34</f>
        <v>0</v>
      </c>
      <c r="G34" s="17">
        <f>+'01'!V34</f>
        <v>0</v>
      </c>
      <c r="H34" s="17"/>
      <c r="I34" s="18"/>
      <c r="J34" s="18">
        <f t="shared" si="27"/>
        <v>0</v>
      </c>
      <c r="K34" s="16">
        <f t="shared" si="37"/>
        <v>0</v>
      </c>
      <c r="L34" s="19">
        <f t="shared" si="29"/>
        <v>0</v>
      </c>
      <c r="M34" s="19">
        <f t="shared" si="38"/>
        <v>0</v>
      </c>
      <c r="N34" s="17"/>
      <c r="O34" s="18">
        <f t="shared" si="31"/>
        <v>0</v>
      </c>
      <c r="P34" s="17"/>
      <c r="Q34" s="18">
        <f t="shared" si="36"/>
        <v>0</v>
      </c>
      <c r="R34" s="17"/>
      <c r="S34" s="18">
        <f t="shared" si="39"/>
        <v>0</v>
      </c>
      <c r="T34" s="17">
        <f t="shared" si="33"/>
        <v>0</v>
      </c>
      <c r="U34" s="18">
        <f t="shared" si="34"/>
        <v>0</v>
      </c>
      <c r="V34" s="18">
        <f t="shared" si="40"/>
        <v>0</v>
      </c>
    </row>
    <row r="35" spans="1:22" hidden="1" x14ac:dyDescent="0.25">
      <c r="A35" s="16">
        <f t="shared" si="41"/>
        <v>16</v>
      </c>
      <c r="B35" s="17"/>
      <c r="C35" s="17"/>
      <c r="D35" s="16">
        <f>'01'!D35</f>
        <v>0</v>
      </c>
      <c r="E35" s="17">
        <f>+'01'!T35</f>
        <v>0</v>
      </c>
      <c r="F35" s="17">
        <f>+'01'!U35</f>
        <v>0</v>
      </c>
      <c r="G35" s="17">
        <f>+'01'!V35</f>
        <v>0</v>
      </c>
      <c r="H35" s="17"/>
      <c r="I35" s="18"/>
      <c r="J35" s="18">
        <f t="shared" si="27"/>
        <v>0</v>
      </c>
      <c r="K35" s="16">
        <f t="shared" si="37"/>
        <v>0</v>
      </c>
      <c r="L35" s="19">
        <f t="shared" si="29"/>
        <v>0</v>
      </c>
      <c r="M35" s="19">
        <f t="shared" si="38"/>
        <v>0</v>
      </c>
      <c r="N35" s="17"/>
      <c r="O35" s="18">
        <f t="shared" si="31"/>
        <v>0</v>
      </c>
      <c r="P35" s="17"/>
      <c r="Q35" s="18">
        <f t="shared" si="36"/>
        <v>0</v>
      </c>
      <c r="R35" s="17"/>
      <c r="S35" s="18">
        <f t="shared" si="39"/>
        <v>0</v>
      </c>
      <c r="T35" s="17">
        <f t="shared" si="33"/>
        <v>0</v>
      </c>
      <c r="U35" s="18">
        <f t="shared" si="34"/>
        <v>0</v>
      </c>
      <c r="V35" s="18">
        <f t="shared" si="40"/>
        <v>0</v>
      </c>
    </row>
    <row r="36" spans="1:22" hidden="1" x14ac:dyDescent="0.25">
      <c r="A36" s="16">
        <f t="shared" si="41"/>
        <v>17</v>
      </c>
      <c r="B36" s="17"/>
      <c r="C36" s="17"/>
      <c r="D36" s="16">
        <f>'01'!D36</f>
        <v>0</v>
      </c>
      <c r="E36" s="17">
        <f>+'01'!T36</f>
        <v>0</v>
      </c>
      <c r="F36" s="17">
        <f>+'01'!U36</f>
        <v>0</v>
      </c>
      <c r="G36" s="17">
        <f>+'01'!V36</f>
        <v>0</v>
      </c>
      <c r="H36" s="17"/>
      <c r="I36" s="18"/>
      <c r="J36" s="18">
        <f t="shared" si="27"/>
        <v>0</v>
      </c>
      <c r="K36" s="16">
        <f t="shared" si="37"/>
        <v>0</v>
      </c>
      <c r="L36" s="19">
        <f t="shared" si="29"/>
        <v>0</v>
      </c>
      <c r="M36" s="19">
        <f t="shared" si="38"/>
        <v>0</v>
      </c>
      <c r="N36" s="17"/>
      <c r="O36" s="18">
        <f t="shared" si="31"/>
        <v>0</v>
      </c>
      <c r="P36" s="17"/>
      <c r="Q36" s="18">
        <f t="shared" si="36"/>
        <v>0</v>
      </c>
      <c r="R36" s="17"/>
      <c r="S36" s="18">
        <f t="shared" si="39"/>
        <v>0</v>
      </c>
      <c r="T36" s="17">
        <f t="shared" si="33"/>
        <v>0</v>
      </c>
      <c r="U36" s="18">
        <f t="shared" si="34"/>
        <v>0</v>
      </c>
      <c r="V36" s="18">
        <f t="shared" si="40"/>
        <v>0</v>
      </c>
    </row>
    <row r="37" spans="1:22" hidden="1" x14ac:dyDescent="0.25">
      <c r="A37" s="16">
        <f t="shared" si="41"/>
        <v>18</v>
      </c>
      <c r="B37" s="17"/>
      <c r="C37" s="17"/>
      <c r="D37" s="16">
        <f>'01'!D37</f>
        <v>0</v>
      </c>
      <c r="E37" s="17">
        <f>+'01'!T37</f>
        <v>0</v>
      </c>
      <c r="F37" s="17">
        <f>+'01'!U37</f>
        <v>0</v>
      </c>
      <c r="G37" s="17">
        <f>+'01'!V37</f>
        <v>0</v>
      </c>
      <c r="H37" s="17"/>
      <c r="I37" s="18"/>
      <c r="J37" s="18">
        <f t="shared" si="27"/>
        <v>0</v>
      </c>
      <c r="K37" s="16">
        <f t="shared" si="37"/>
        <v>0</v>
      </c>
      <c r="L37" s="19">
        <f t="shared" si="29"/>
        <v>0</v>
      </c>
      <c r="M37" s="19">
        <f t="shared" si="38"/>
        <v>0</v>
      </c>
      <c r="N37" s="17"/>
      <c r="O37" s="18">
        <f t="shared" si="31"/>
        <v>0</v>
      </c>
      <c r="P37" s="17"/>
      <c r="Q37" s="18">
        <f t="shared" si="36"/>
        <v>0</v>
      </c>
      <c r="R37" s="17"/>
      <c r="S37" s="18">
        <f t="shared" si="39"/>
        <v>0</v>
      </c>
      <c r="T37" s="17">
        <f t="shared" si="33"/>
        <v>0</v>
      </c>
      <c r="U37" s="18">
        <f t="shared" si="34"/>
        <v>0</v>
      </c>
      <c r="V37" s="18">
        <f t="shared" si="40"/>
        <v>0</v>
      </c>
    </row>
    <row r="38" spans="1:22" s="3" customFormat="1" ht="24.75" customHeight="1" x14ac:dyDescent="0.25">
      <c r="A38" s="5"/>
      <c r="B38" s="5" t="str">
        <f>'01'!B38</f>
        <v>TOTAL BEER</v>
      </c>
      <c r="C38" s="5">
        <f>'01'!C38</f>
        <v>0</v>
      </c>
      <c r="D38" s="45">
        <f>'01'!D38</f>
        <v>96</v>
      </c>
      <c r="E38" s="5">
        <f>+SUM(E20:E24)</f>
        <v>61</v>
      </c>
      <c r="F38" s="5"/>
      <c r="G38" s="22">
        <f>+SUM(G20:G37)</f>
        <v>34.21</v>
      </c>
      <c r="H38" s="5">
        <f t="shared" ref="H38" si="42">+SUM(H20:H37)</f>
        <v>0</v>
      </c>
      <c r="I38" s="5"/>
      <c r="J38" s="22">
        <f t="shared" ref="J38:K38" si="43">+SUM(J20:J37)</f>
        <v>0</v>
      </c>
      <c r="K38" s="5">
        <f t="shared" si="43"/>
        <v>61</v>
      </c>
      <c r="L38" s="5"/>
      <c r="M38" s="22">
        <f t="shared" ref="M38:T38" si="44">+SUM(M20:M37)</f>
        <v>34.21</v>
      </c>
      <c r="N38" s="5">
        <f t="shared" si="44"/>
        <v>0</v>
      </c>
      <c r="O38" s="22">
        <f t="shared" si="44"/>
        <v>0</v>
      </c>
      <c r="P38" s="5">
        <f t="shared" si="44"/>
        <v>0</v>
      </c>
      <c r="Q38" s="22">
        <f t="shared" si="44"/>
        <v>0</v>
      </c>
      <c r="R38" s="5">
        <f t="shared" si="44"/>
        <v>0</v>
      </c>
      <c r="S38" s="22">
        <f t="shared" si="44"/>
        <v>0</v>
      </c>
      <c r="T38" s="5">
        <f t="shared" si="44"/>
        <v>61</v>
      </c>
      <c r="U38" s="5"/>
      <c r="V38" s="22">
        <f t="shared" ref="V38" si="45">+SUM(V20:V37)</f>
        <v>34.21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179</v>
      </c>
      <c r="F39" s="5"/>
      <c r="G39" s="22">
        <f>+SUM(G7:G38)/2</f>
        <v>69.917500000000004</v>
      </c>
      <c r="H39" s="5">
        <f>+SUM(H7:H38)/2</f>
        <v>0</v>
      </c>
      <c r="I39" s="5"/>
      <c r="J39" s="22">
        <f>+SUM(J7:J38)/2</f>
        <v>0</v>
      </c>
      <c r="K39" s="5">
        <f>+SUM(K7:K38)/2</f>
        <v>179</v>
      </c>
      <c r="L39" s="5"/>
      <c r="M39" s="22">
        <f t="shared" ref="M39:T39" si="46">+SUM(M7:M38)/2</f>
        <v>69.917500000000004</v>
      </c>
      <c r="N39" s="5">
        <f t="shared" si="46"/>
        <v>0</v>
      </c>
      <c r="O39" s="22">
        <f t="shared" si="46"/>
        <v>0</v>
      </c>
      <c r="P39" s="5">
        <f t="shared" si="46"/>
        <v>0</v>
      </c>
      <c r="Q39" s="22">
        <f t="shared" si="46"/>
        <v>0</v>
      </c>
      <c r="R39" s="5">
        <f t="shared" si="46"/>
        <v>0</v>
      </c>
      <c r="S39" s="22">
        <f t="shared" si="46"/>
        <v>0</v>
      </c>
      <c r="T39" s="5">
        <f t="shared" si="46"/>
        <v>179</v>
      </c>
      <c r="U39" s="5"/>
      <c r="V39" s="22">
        <f>+SUM(V7:V38)/2</f>
        <v>69.917500000000004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29"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E6:G6"/>
    <mergeCell ref="H6:J6"/>
    <mergeCell ref="K6:M6"/>
    <mergeCell ref="T4:V4"/>
    <mergeCell ref="W6:Z6"/>
    <mergeCell ref="W4:AB4"/>
    <mergeCell ref="A47:B47"/>
    <mergeCell ref="H47:M47"/>
    <mergeCell ref="R47:V47"/>
    <mergeCell ref="W20:X20"/>
    <mergeCell ref="AA6:AB6"/>
    <mergeCell ref="N6:O6"/>
    <mergeCell ref="P6:Q6"/>
    <mergeCell ref="A41:B41"/>
    <mergeCell ref="H41:M41"/>
    <mergeCell ref="R41:V41"/>
    <mergeCell ref="R6:S6"/>
    <mergeCell ref="T6:V6"/>
  </mergeCells>
  <pageMargins left="0.12" right="0.12" top="0.26" bottom="0.12" header="0.3" footer="0.12"/>
  <pageSetup paperSize="9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CA2D-5E1A-46A4-90A8-5784087BF37C}">
  <sheetPr>
    <tabColor rgb="FF00B0F0"/>
  </sheetPr>
  <dimension ref="A2:AC47"/>
  <sheetViews>
    <sheetView view="pageBreakPreview" zoomScaleNormal="100" zoomScaleSheetLayoutView="100" workbookViewId="0">
      <pane xSplit="2" ySplit="7" topLeftCell="M8" activePane="bottomRight" state="frozen"/>
      <selection activeCell="K14" sqref="K14"/>
      <selection pane="topRight" activeCell="K14" sqref="K14"/>
      <selection pane="bottomLeft" activeCell="K14" sqref="K14"/>
      <selection pane="bottomRight" activeCell="S22" sqref="S22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hidden="1" customWidth="1"/>
    <col min="4" max="4" width="5.5546875" style="1" customWidth="1"/>
    <col min="5" max="5" width="9.109375" style="1"/>
    <col min="6" max="6" width="9.109375" style="4"/>
    <col min="7" max="7" width="9.88671875" style="1" bestFit="1" customWidth="1"/>
    <col min="8" max="8" width="6.44140625" style="1" customWidth="1"/>
    <col min="9" max="9" width="9.109375" style="4"/>
    <col min="10" max="10" width="9.109375" style="1"/>
    <col min="11" max="11" width="9.109375" style="2"/>
    <col min="12" max="12" width="9.109375" style="4" customWidth="1"/>
    <col min="13" max="13" width="9.8867187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9.88671875" style="4" bestFit="1" customWidth="1"/>
    <col min="23" max="23" width="0" style="1" hidden="1" customWidth="1"/>
    <col min="24" max="24" width="9.109375" style="1"/>
    <col min="25" max="25" width="23.441406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+'02'!T4+1</f>
        <v>45841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36"/>
      <c r="X6" s="71" t="s">
        <v>52</v>
      </c>
      <c r="Y6" s="71"/>
      <c r="Z6" s="71"/>
      <c r="AA6" s="71"/>
      <c r="AB6" s="71" t="s">
        <v>53</v>
      </c>
      <c r="AC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X7" s="33"/>
      <c r="Y7" s="33"/>
      <c r="Z7" s="33" t="s">
        <v>55</v>
      </c>
      <c r="AA7" s="33" t="s">
        <v>54</v>
      </c>
      <c r="AB7" s="25" t="s">
        <v>55</v>
      </c>
      <c r="AC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+'02'!T8</f>
        <v>1</v>
      </c>
      <c r="F8" s="19">
        <f>+'02'!U8</f>
        <v>0.36249999999999999</v>
      </c>
      <c r="G8" s="17">
        <f>+'02'!V8</f>
        <v>0.36249999999999999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0.36249999999999999</v>
      </c>
      <c r="M8" s="19">
        <f t="shared" ref="M8:M14" si="2">+J8+G8</f>
        <v>0.36249999999999999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1</v>
      </c>
      <c r="U8" s="18">
        <f t="shared" ref="U8:U14" si="5">IF(T8=0,,V8/T8)</f>
        <v>0.36249999999999999</v>
      </c>
      <c r="V8" s="18">
        <f t="shared" ref="V8:V14" si="6">+T8*L8</f>
        <v>0.36249999999999999</v>
      </c>
      <c r="X8" s="1" t="str">
        <f>+$B$8</f>
        <v>Cocacola Classic 330ml (24cans)</v>
      </c>
      <c r="Z8" s="2">
        <f>+$R$8</f>
        <v>0</v>
      </c>
      <c r="AA8" s="26">
        <f t="shared" ref="AA8:AA19" si="7">+Z8*1</f>
        <v>0</v>
      </c>
      <c r="AB8" s="38">
        <f>+Z8+'02'!AA8</f>
        <v>0</v>
      </c>
      <c r="AC8" s="30">
        <f>+AA8+'02'!AB8</f>
        <v>0</v>
      </c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+'02'!T9</f>
        <v>18</v>
      </c>
      <c r="F9" s="19">
        <f>+'02'!U9</f>
        <v>0.36249999999999999</v>
      </c>
      <c r="G9" s="17">
        <f>+'02'!V9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X9" s="1" t="str">
        <f>+$B$9</f>
        <v>Cocacola Zero 330ml (24cans)</v>
      </c>
      <c r="Z9" s="2">
        <f>+$R$9</f>
        <v>0</v>
      </c>
      <c r="AA9" s="26">
        <f t="shared" si="7"/>
        <v>0</v>
      </c>
      <c r="AB9" s="38">
        <f>+Z9+'02'!AA9</f>
        <v>0</v>
      </c>
      <c r="AC9" s="30">
        <f>+AA9+'02'!AB9</f>
        <v>0</v>
      </c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+'02'!T10</f>
        <v>11</v>
      </c>
      <c r="F10" s="19">
        <f>+'02'!U10</f>
        <v>0.36249999999999999</v>
      </c>
      <c r="G10" s="17">
        <f>+'02'!V10</f>
        <v>3.9874999999999998</v>
      </c>
      <c r="H10" s="17"/>
      <c r="I10" s="18"/>
      <c r="J10" s="18">
        <f t="shared" ref="J10:J14" si="11">+H10*I10</f>
        <v>0</v>
      </c>
      <c r="K10" s="16">
        <f t="shared" si="0"/>
        <v>11</v>
      </c>
      <c r="L10" s="19">
        <f t="shared" si="1"/>
        <v>0.36249999999999999</v>
      </c>
      <c r="M10" s="19">
        <f t="shared" si="2"/>
        <v>3.9874999999999998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11</v>
      </c>
      <c r="U10" s="18">
        <f t="shared" si="5"/>
        <v>0.36249999999999999</v>
      </c>
      <c r="V10" s="18">
        <f t="shared" si="6"/>
        <v>3.9874999999999998</v>
      </c>
      <c r="X10" s="1" t="str">
        <f>+$B$10</f>
        <v>Cocacola Light 330ml (24cans)</v>
      </c>
      <c r="Z10" s="2">
        <f>+$R$10</f>
        <v>0</v>
      </c>
      <c r="AA10" s="26">
        <f t="shared" si="7"/>
        <v>0</v>
      </c>
      <c r="AB10" s="38">
        <f>+Z10+'02'!AA10</f>
        <v>0</v>
      </c>
      <c r="AC10" s="30">
        <f>+AA10+'02'!AB10</f>
        <v>0</v>
      </c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+'02'!T11</f>
        <v>2</v>
      </c>
      <c r="F11" s="19">
        <f>+'02'!U11</f>
        <v>0.36249999999999999</v>
      </c>
      <c r="G11" s="17">
        <f>+'02'!V11</f>
        <v>0.72499999999999998</v>
      </c>
      <c r="H11" s="17"/>
      <c r="I11" s="18"/>
      <c r="J11" s="18">
        <f t="shared" si="11"/>
        <v>0</v>
      </c>
      <c r="K11" s="16">
        <f t="shared" si="0"/>
        <v>2</v>
      </c>
      <c r="L11" s="19">
        <f t="shared" si="1"/>
        <v>0.36249999999999999</v>
      </c>
      <c r="M11" s="19">
        <f t="shared" si="2"/>
        <v>0.72499999999999998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</v>
      </c>
      <c r="U11" s="18">
        <f t="shared" si="5"/>
        <v>0.36249999999999999</v>
      </c>
      <c r="V11" s="18">
        <f t="shared" si="6"/>
        <v>0.72499999999999998</v>
      </c>
      <c r="X11" s="1" t="str">
        <f>+$B$11</f>
        <v>Sprite 330ml (24cans)</v>
      </c>
      <c r="Z11" s="2">
        <f>+$R$11</f>
        <v>0</v>
      </c>
      <c r="AA11" s="26">
        <f t="shared" si="7"/>
        <v>0</v>
      </c>
      <c r="AB11" s="38">
        <f>+Z11+'02'!AA11</f>
        <v>0</v>
      </c>
      <c r="AC11" s="30">
        <f>+AA11+'02'!AB11</f>
        <v>0</v>
      </c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+'02'!T12</f>
        <v>14</v>
      </c>
      <c r="F12" s="19">
        <f>+'02'!U12</f>
        <v>0.36249999999999999</v>
      </c>
      <c r="G12" s="17">
        <f>+'02'!V12</f>
        <v>5.0750000000000002</v>
      </c>
      <c r="H12" s="17"/>
      <c r="I12" s="18"/>
      <c r="J12" s="18">
        <f t="shared" si="11"/>
        <v>0</v>
      </c>
      <c r="K12" s="16">
        <f t="shared" si="0"/>
        <v>14</v>
      </c>
      <c r="L12" s="19">
        <f t="shared" si="1"/>
        <v>0.36249999999999999</v>
      </c>
      <c r="M12" s="19">
        <f t="shared" si="2"/>
        <v>5.0750000000000002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14</v>
      </c>
      <c r="U12" s="18">
        <f t="shared" si="5"/>
        <v>0.36249999999999999</v>
      </c>
      <c r="V12" s="18">
        <f t="shared" si="6"/>
        <v>5.0750000000000002</v>
      </c>
      <c r="X12" s="1" t="str">
        <f>+$B$12</f>
        <v>Schweppes Soda Water 330ml (24cans)</v>
      </c>
      <c r="Z12" s="2">
        <f>+$R$12</f>
        <v>0</v>
      </c>
      <c r="AA12" s="26">
        <f t="shared" si="7"/>
        <v>0</v>
      </c>
      <c r="AB12" s="38">
        <f>+Z12+'02'!AA12</f>
        <v>0</v>
      </c>
      <c r="AC12" s="30">
        <f>+AA12+'02'!AB12</f>
        <v>0</v>
      </c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+'02'!T13</f>
        <v>19</v>
      </c>
      <c r="F13" s="19">
        <f>+'02'!U13</f>
        <v>0.36249999999999999</v>
      </c>
      <c r="G13" s="17">
        <f>+'02'!V13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X13" s="1" t="str">
        <f>+$B$13</f>
        <v>Schweppes Tonic Water 330ml (24cans)</v>
      </c>
      <c r="Z13" s="2">
        <f>+$R$13</f>
        <v>0</v>
      </c>
      <c r="AA13" s="26">
        <f t="shared" si="7"/>
        <v>0</v>
      </c>
      <c r="AB13" s="38">
        <f>+Z13+'02'!AA13</f>
        <v>0</v>
      </c>
      <c r="AC13" s="30">
        <f>+AA13+'02'!AB13</f>
        <v>0</v>
      </c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+'02'!T14</f>
        <v>20</v>
      </c>
      <c r="F14" s="19">
        <f>+'02'!U14</f>
        <v>0.36249999999999999</v>
      </c>
      <c r="G14" s="17">
        <f>+'02'!V14</f>
        <v>7.25</v>
      </c>
      <c r="H14" s="17"/>
      <c r="I14" s="18"/>
      <c r="J14" s="18">
        <f t="shared" si="11"/>
        <v>0</v>
      </c>
      <c r="K14" s="16">
        <f t="shared" si="0"/>
        <v>20</v>
      </c>
      <c r="L14" s="19">
        <f t="shared" si="1"/>
        <v>0.36249999999999999</v>
      </c>
      <c r="M14" s="19">
        <f t="shared" si="2"/>
        <v>7.25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20</v>
      </c>
      <c r="U14" s="18">
        <f t="shared" si="5"/>
        <v>0.36249999999999999</v>
      </c>
      <c r="V14" s="18">
        <f t="shared" si="6"/>
        <v>7.25</v>
      </c>
      <c r="X14" s="1" t="str">
        <f>+$B$14</f>
        <v>Schweppes Ginger Ale 330ml (24cans)</v>
      </c>
      <c r="Z14" s="2">
        <f>+$R$14</f>
        <v>0</v>
      </c>
      <c r="AA14" s="26">
        <f t="shared" si="7"/>
        <v>0</v>
      </c>
      <c r="AB14" s="38">
        <f>+Z14+'02'!AA14</f>
        <v>0</v>
      </c>
      <c r="AC14" s="30">
        <f>+AA14+'02'!AB14</f>
        <v>0</v>
      </c>
    </row>
    <row r="15" spans="1:29" s="3" customFormat="1" ht="19.8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85</v>
      </c>
      <c r="F15" s="5"/>
      <c r="G15" s="22">
        <f>+SUM(G8:G14)</f>
        <v>30.8125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85</v>
      </c>
      <c r="L15" s="5"/>
      <c r="M15" s="22">
        <f t="shared" ref="M15:T15" si="13">+SUM(M8:M14)</f>
        <v>30.8125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85</v>
      </c>
      <c r="U15" s="5"/>
      <c r="V15" s="22">
        <f t="shared" ref="V15" si="14">+SUM(V8:V14)</f>
        <v>30.8125</v>
      </c>
      <c r="X15" s="1" t="str">
        <f>+$B$17</f>
        <v>Dasani 500ml (24 Btl)</v>
      </c>
      <c r="Z15" s="2">
        <f>+$R$17</f>
        <v>4</v>
      </c>
      <c r="AA15" s="26">
        <f>+Z15*0.5</f>
        <v>2</v>
      </c>
      <c r="AB15" s="38">
        <f>+Z15+'02'!AA15</f>
        <v>5</v>
      </c>
      <c r="AC15" s="30">
        <f>+AA15+'02'!AB15</f>
        <v>2.5</v>
      </c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X16" s="1" t="str">
        <f>+$B$20</f>
        <v xml:space="preserve">TIGER BEER 330ml CAN </v>
      </c>
      <c r="Z16" s="34">
        <f>+$R$20</f>
        <v>0</v>
      </c>
      <c r="AA16" s="26">
        <f>+Z16*1.25</f>
        <v>0</v>
      </c>
      <c r="AB16" s="38">
        <f>+Z16+'02'!AA16</f>
        <v>0</v>
      </c>
      <c r="AC16" s="30">
        <f>+AA16+'02'!AB16</f>
        <v>0</v>
      </c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+'02'!T17</f>
        <v>33</v>
      </c>
      <c r="F17" s="19">
        <f>+'02'!U17</f>
        <v>0.14833333333333334</v>
      </c>
      <c r="G17" s="17">
        <f>+'02'!V17</f>
        <v>4.8950000000000005</v>
      </c>
      <c r="H17" s="17"/>
      <c r="I17" s="18"/>
      <c r="J17" s="18">
        <f t="shared" ref="J17" si="15">+H17*I17</f>
        <v>0</v>
      </c>
      <c r="K17" s="16">
        <f>+E17+H17</f>
        <v>33</v>
      </c>
      <c r="L17" s="19">
        <f t="shared" ref="L17" si="16">IF(K17=0,,M17/K17)</f>
        <v>0.14833333333333334</v>
      </c>
      <c r="M17" s="19">
        <f>+J17+G17</f>
        <v>4.8950000000000005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4</v>
      </c>
      <c r="S17" s="18">
        <f t="shared" ref="S17" si="19">+R17*L17</f>
        <v>0.59333333333333338</v>
      </c>
      <c r="T17" s="17">
        <f t="shared" ref="T17" si="20">+K17-N17-P17-R17</f>
        <v>29</v>
      </c>
      <c r="U17" s="18">
        <f t="shared" ref="U17" si="21">IF(T17=0,,V17/T17)</f>
        <v>0.14833333333333334</v>
      </c>
      <c r="V17" s="18">
        <f t="shared" ref="V17" si="22">+T17*L17</f>
        <v>4.3016666666666667</v>
      </c>
      <c r="X17" s="1" t="str">
        <f>+$B$21</f>
        <v>Heineken 330ml CAN</v>
      </c>
      <c r="Z17" s="34">
        <f>+$R$21</f>
        <v>0</v>
      </c>
      <c r="AA17" s="26">
        <f>+Z17*1.25</f>
        <v>0</v>
      </c>
      <c r="AB17" s="38">
        <f>+Z17+'02'!AA17</f>
        <v>0</v>
      </c>
      <c r="AC17" s="30">
        <f>+AA17+'02'!AB17</f>
        <v>0</v>
      </c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33</v>
      </c>
      <c r="F18" s="5"/>
      <c r="G18" s="22">
        <f>+G17</f>
        <v>4.8950000000000005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33</v>
      </c>
      <c r="L18" s="5"/>
      <c r="M18" s="22">
        <f t="shared" ref="M18:T18" si="25">+M17</f>
        <v>4.8950000000000005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4</v>
      </c>
      <c r="S18" s="22">
        <f t="shared" si="25"/>
        <v>0.59333333333333338</v>
      </c>
      <c r="T18" s="5">
        <f t="shared" si="25"/>
        <v>29</v>
      </c>
      <c r="U18" s="5"/>
      <c r="V18" s="22">
        <f t="shared" ref="V18" si="26">+V17</f>
        <v>4.3016666666666667</v>
      </c>
      <c r="Z18" s="34">
        <f>+$R$22</f>
        <v>0</v>
      </c>
      <c r="AA18" s="26">
        <f t="shared" si="7"/>
        <v>0</v>
      </c>
      <c r="AB18" s="38">
        <f>+Z18+'02'!AA18</f>
        <v>0</v>
      </c>
      <c r="AC18" s="30">
        <f>+AA18+'02'!AB18</f>
        <v>0</v>
      </c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Z19" s="34">
        <f>+$R$23</f>
        <v>0</v>
      </c>
      <c r="AA19" s="26">
        <f t="shared" si="7"/>
        <v>0</v>
      </c>
      <c r="AB19" s="38">
        <f>+Z19+'02'!AA19</f>
        <v>0</v>
      </c>
      <c r="AC19" s="30">
        <f>+AA19+'02'!AB19</f>
        <v>0</v>
      </c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+'02'!T20</f>
        <v>32</v>
      </c>
      <c r="F20" s="19">
        <f>+'02'!U20</f>
        <v>0.48</v>
      </c>
      <c r="G20" s="17">
        <f>+'02'!V20</f>
        <v>15.36</v>
      </c>
      <c r="H20" s="17"/>
      <c r="I20" s="18"/>
      <c r="J20" s="18">
        <f t="shared" ref="J20:J37" si="28">+H20*I20</f>
        <v>0</v>
      </c>
      <c r="K20" s="16">
        <f t="shared" ref="K20:K37" si="29">+E20+H20</f>
        <v>32</v>
      </c>
      <c r="L20" s="19">
        <f t="shared" ref="L20:L37" si="30">IF(K20=0,,M20/K20)</f>
        <v>0.48</v>
      </c>
      <c r="M20" s="19">
        <f t="shared" ref="M20:M37" si="31">+J20+G20</f>
        <v>15.36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32</v>
      </c>
      <c r="U20" s="18">
        <f t="shared" ref="U20:U37" si="35">IF(T20=0,,V20/T20)</f>
        <v>0.48</v>
      </c>
      <c r="V20" s="18">
        <f t="shared" ref="V20:V37" si="36">+T20*L20</f>
        <v>15.36</v>
      </c>
      <c r="X20" s="70" t="s">
        <v>43</v>
      </c>
      <c r="Y20" s="70"/>
      <c r="Z20" s="28">
        <f>+SUM(Z8:Z19)</f>
        <v>4</v>
      </c>
      <c r="AA20" s="31">
        <f>+SUM(AA8:AA19)</f>
        <v>2</v>
      </c>
      <c r="AB20" s="28">
        <f>+SUM(AB8:AB19)</f>
        <v>5</v>
      </c>
      <c r="AC20" s="31">
        <f>+SUM(AC8:AC19)</f>
        <v>2.5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+'02'!T21</f>
        <v>29</v>
      </c>
      <c r="F21" s="19">
        <f>+'02'!U21</f>
        <v>0.65</v>
      </c>
      <c r="G21" s="17">
        <f>+'02'!V21</f>
        <v>18.850000000000001</v>
      </c>
      <c r="H21" s="17"/>
      <c r="I21" s="18"/>
      <c r="J21" s="18">
        <f t="shared" si="28"/>
        <v>0</v>
      </c>
      <c r="K21" s="16">
        <f t="shared" si="29"/>
        <v>29</v>
      </c>
      <c r="L21" s="19">
        <f t="shared" si="30"/>
        <v>0.65</v>
      </c>
      <c r="M21" s="19">
        <f t="shared" si="31"/>
        <v>18.850000000000001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29</v>
      </c>
      <c r="U21" s="18">
        <f t="shared" si="35"/>
        <v>0.65</v>
      </c>
      <c r="V21" s="18">
        <f t="shared" si="36"/>
        <v>18.850000000000001</v>
      </c>
      <c r="AB21" s="2"/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+'02'!T22</f>
        <v>0</v>
      </c>
      <c r="F22" s="19">
        <f>+'02'!U22</f>
        <v>0</v>
      </c>
      <c r="G22" s="17">
        <f>+'02'!V22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+'02'!T23</f>
        <v>0</v>
      </c>
      <c r="F23" s="19">
        <f>+'02'!U23</f>
        <v>0</v>
      </c>
      <c r="G23" s="17">
        <f>+'02'!V23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+'02'!T24</f>
        <v>0</v>
      </c>
      <c r="F24" s="19">
        <f>+'02'!U24</f>
        <v>0</v>
      </c>
      <c r="G24" s="17">
        <f>+'02'!V24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+'02'!T25</f>
        <v>0</v>
      </c>
      <c r="F25" s="19">
        <f>+'02'!U25</f>
        <v>0</v>
      </c>
      <c r="G25" s="17">
        <f>+'02'!V25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+'02'!T26</f>
        <v>0</v>
      </c>
      <c r="F26" s="19">
        <f>+'02'!U26</f>
        <v>0</v>
      </c>
      <c r="G26" s="17">
        <f>+'02'!V26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+'02'!T27</f>
        <v>0</v>
      </c>
      <c r="F27" s="19">
        <f>+'02'!U27</f>
        <v>0</v>
      </c>
      <c r="G27" s="17">
        <f>+'02'!V27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+'02'!T28</f>
        <v>0</v>
      </c>
      <c r="F28" s="19">
        <f>+'02'!U28</f>
        <v>0</v>
      </c>
      <c r="G28" s="17">
        <f>+'02'!V28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+'02'!T29</f>
        <v>0</v>
      </c>
      <c r="F29" s="19">
        <f>+'02'!U29</f>
        <v>0</v>
      </c>
      <c r="G29" s="17">
        <f>+'02'!V29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+'02'!T30</f>
        <v>0</v>
      </c>
      <c r="F30" s="19">
        <f>+'02'!U30</f>
        <v>0</v>
      </c>
      <c r="G30" s="17">
        <f>+'02'!V30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+'02'!T31</f>
        <v>0</v>
      </c>
      <c r="F31" s="19">
        <f>+'02'!U31</f>
        <v>0</v>
      </c>
      <c r="G31" s="17">
        <f>+'02'!V31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+'02'!T32</f>
        <v>0</v>
      </c>
      <c r="F32" s="19">
        <f>+'02'!U32</f>
        <v>0</v>
      </c>
      <c r="G32" s="17">
        <f>+'02'!V32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+'02'!T33</f>
        <v>0</v>
      </c>
      <c r="F33" s="19">
        <f>+'02'!U33</f>
        <v>0</v>
      </c>
      <c r="G33" s="17">
        <f>+'02'!V33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+'02'!T34</f>
        <v>0</v>
      </c>
      <c r="F34" s="19">
        <f>+'02'!U34</f>
        <v>0</v>
      </c>
      <c r="G34" s="17">
        <f>+'02'!V34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+'02'!T35</f>
        <v>0</v>
      </c>
      <c r="F35" s="19">
        <f>+'02'!U35</f>
        <v>0</v>
      </c>
      <c r="G35" s="17">
        <f>+'02'!V35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+'02'!T36</f>
        <v>0</v>
      </c>
      <c r="F36" s="19">
        <f>+'02'!U36</f>
        <v>0</v>
      </c>
      <c r="G36" s="17">
        <f>+'02'!V36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+'02'!T37</f>
        <v>0</v>
      </c>
      <c r="F37" s="19">
        <f>+'02'!U37</f>
        <v>0</v>
      </c>
      <c r="G37" s="17">
        <f>+'02'!V37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61</v>
      </c>
      <c r="F38" s="5"/>
      <c r="G38" s="22">
        <f>+SUM(G20:G37)</f>
        <v>34.21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61</v>
      </c>
      <c r="L38" s="5"/>
      <c r="M38" s="22">
        <f t="shared" ref="M38:T38" si="41">+SUM(M20:M37)</f>
        <v>34.21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61</v>
      </c>
      <c r="U38" s="5"/>
      <c r="V38" s="22">
        <f t="shared" ref="V38" si="42">+SUM(V20:V37)</f>
        <v>34.21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179</v>
      </c>
      <c r="F39" s="5"/>
      <c r="G39" s="22">
        <f>+SUM(G7:G38)/2</f>
        <v>69.917500000000004</v>
      </c>
      <c r="H39" s="5">
        <f>+SUM(H7:H38)/2</f>
        <v>0</v>
      </c>
      <c r="I39" s="5"/>
      <c r="J39" s="22">
        <f>+SUM(J7:J38)/2</f>
        <v>0</v>
      </c>
      <c r="K39" s="5">
        <f>+SUM(K7:K38)/2</f>
        <v>179</v>
      </c>
      <c r="L39" s="5"/>
      <c r="M39" s="22">
        <f t="shared" ref="M39:T39" si="43">+SUM(M7:M38)/2</f>
        <v>69.917500000000004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4</v>
      </c>
      <c r="S39" s="22">
        <f t="shared" si="43"/>
        <v>0.59333333333333338</v>
      </c>
      <c r="T39" s="5">
        <f t="shared" si="43"/>
        <v>175</v>
      </c>
      <c r="U39" s="5"/>
      <c r="V39" s="22">
        <f>+SUM(V7:V38)/2</f>
        <v>69.32416666666667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X20:Y20"/>
    <mergeCell ref="AB6:AC6"/>
    <mergeCell ref="X6:AA6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9" orientation="landscape" r:id="rId1"/>
  <colBreaks count="1" manualBreakCount="1">
    <brk id="22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ABF7-D448-424B-AE1C-44A9CDFC519C}">
  <sheetPr>
    <tabColor rgb="FF00B0F0"/>
  </sheetPr>
  <dimension ref="A2:AC47"/>
  <sheetViews>
    <sheetView view="pageBreakPreview" zoomScaleNormal="100" zoomScaleSheetLayoutView="100" workbookViewId="0">
      <pane xSplit="2" ySplit="7" topLeftCell="D8" activePane="bottomRight" state="frozen"/>
      <selection activeCell="K14" sqref="K14"/>
      <selection pane="topRight" activeCell="K14" sqref="K14"/>
      <selection pane="bottomLeft" activeCell="K14" sqref="K14"/>
      <selection pane="bottomRight" activeCell="S22" sqref="S22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hidden="1" customWidth="1"/>
    <col min="4" max="4" width="5.5546875" style="1" customWidth="1"/>
    <col min="5" max="5" width="9.109375" style="1"/>
    <col min="6" max="6" width="9.109375" style="4"/>
    <col min="7" max="7" width="9.8867187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9.88671875" style="1" bestFit="1" customWidth="1"/>
    <col min="14" max="14" width="4.109375" style="1" bestFit="1" customWidth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9.88671875" style="4" bestFit="1" customWidth="1"/>
    <col min="23" max="23" width="9.109375" style="1" customWidth="1"/>
    <col min="24" max="24" width="24.109375" style="1" customWidth="1"/>
    <col min="25" max="25" width="10" style="1" customWidth="1"/>
    <col min="26" max="26" width="9.109375" style="1" customWidth="1"/>
    <col min="27" max="27" width="8.6640625" style="1" customWidth="1"/>
    <col min="28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+'03'!T4+1</f>
        <v>45842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  <c r="AC6" s="25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  <c r="AC7" s="25"/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+'03'!T8</f>
        <v>1</v>
      </c>
      <c r="F8" s="19">
        <f>+'03'!U8</f>
        <v>0.36249999999999999</v>
      </c>
      <c r="G8" s="17">
        <f>+'03'!V8</f>
        <v>0.36249999999999999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0.36249999999999999</v>
      </c>
      <c r="M8" s="19">
        <f t="shared" ref="M8:M14" si="2">+J8+G8</f>
        <v>0.36249999999999999</v>
      </c>
      <c r="N8" s="17"/>
      <c r="O8" s="18">
        <f>+N8*L8</f>
        <v>0</v>
      </c>
      <c r="P8" s="17"/>
      <c r="Q8" s="18">
        <f>+P8*L8</f>
        <v>0</v>
      </c>
      <c r="R8" s="17">
        <v>3</v>
      </c>
      <c r="S8" s="18">
        <f t="shared" ref="S8:S14" si="3">+R8*L8</f>
        <v>1.0874999999999999</v>
      </c>
      <c r="T8" s="17">
        <f t="shared" ref="T8:T14" si="4">+K8-N8-P8-R8</f>
        <v>-2</v>
      </c>
      <c r="U8" s="18">
        <f t="shared" ref="U8:U14" si="5">IF(T8=0,,V8/T8)</f>
        <v>0.36249999999999999</v>
      </c>
      <c r="V8" s="18">
        <f t="shared" ref="V8:V14" si="6">+T8*L8</f>
        <v>-0.72499999999999998</v>
      </c>
      <c r="W8" s="1" t="str">
        <f>+$B$8</f>
        <v>Cocacola Classic 330ml (24cans)</v>
      </c>
      <c r="Y8" s="2">
        <f>+$R$8</f>
        <v>3</v>
      </c>
      <c r="Z8" s="26">
        <f t="shared" ref="Z8:Z19" si="7">+Y8*1</f>
        <v>3</v>
      </c>
      <c r="AA8" s="35">
        <f>+Y8+'03'!AB8</f>
        <v>3</v>
      </c>
      <c r="AB8" s="30">
        <f>+Z8+'03'!AB8</f>
        <v>3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+'03'!T9</f>
        <v>18</v>
      </c>
      <c r="F9" s="19">
        <f>+'03'!U9</f>
        <v>0.36249999999999999</v>
      </c>
      <c r="G9" s="17">
        <f>+'03'!V9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+Y9+'03'!AB9</f>
        <v>0</v>
      </c>
      <c r="AB9" s="30">
        <f>+Z9+'03'!AC9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+'03'!T10</f>
        <v>11</v>
      </c>
      <c r="F10" s="19">
        <f>+'03'!U10</f>
        <v>0.36249999999999999</v>
      </c>
      <c r="G10" s="17">
        <f>+'03'!V10</f>
        <v>3.9874999999999998</v>
      </c>
      <c r="H10" s="17"/>
      <c r="I10" s="18"/>
      <c r="J10" s="18">
        <f t="shared" ref="J10:J14" si="11">+H10*I10</f>
        <v>0</v>
      </c>
      <c r="K10" s="16">
        <f t="shared" si="0"/>
        <v>11</v>
      </c>
      <c r="L10" s="19">
        <f t="shared" si="1"/>
        <v>0.36249999999999999</v>
      </c>
      <c r="M10" s="19">
        <f t="shared" si="2"/>
        <v>3.9874999999999998</v>
      </c>
      <c r="N10" s="17"/>
      <c r="O10" s="18">
        <f t="shared" si="9"/>
        <v>0</v>
      </c>
      <c r="P10" s="17"/>
      <c r="Q10" s="18">
        <f t="shared" si="10"/>
        <v>0</v>
      </c>
      <c r="R10" s="17">
        <v>1</v>
      </c>
      <c r="S10" s="18">
        <f t="shared" si="3"/>
        <v>0.36249999999999999</v>
      </c>
      <c r="T10" s="17">
        <f t="shared" si="4"/>
        <v>10</v>
      </c>
      <c r="U10" s="18">
        <f t="shared" si="5"/>
        <v>0.36249999999999999</v>
      </c>
      <c r="V10" s="18">
        <f t="shared" si="6"/>
        <v>3.625</v>
      </c>
      <c r="W10" s="1" t="str">
        <f>+$B$10</f>
        <v>Cocacola Light 330ml (24cans)</v>
      </c>
      <c r="Y10" s="2">
        <f>+$R$10</f>
        <v>1</v>
      </c>
      <c r="Z10" s="26">
        <f t="shared" si="7"/>
        <v>1</v>
      </c>
      <c r="AA10" s="35">
        <f>+Y10+'03'!AB10</f>
        <v>1</v>
      </c>
      <c r="AB10" s="30">
        <f>+Z10+'03'!AC10</f>
        <v>1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+'03'!T11</f>
        <v>2</v>
      </c>
      <c r="F11" s="19">
        <f>+'03'!U11</f>
        <v>0.36249999999999999</v>
      </c>
      <c r="G11" s="17">
        <f>+'03'!V11</f>
        <v>0.72499999999999998</v>
      </c>
      <c r="H11" s="17"/>
      <c r="I11" s="18"/>
      <c r="J11" s="18">
        <f t="shared" si="11"/>
        <v>0</v>
      </c>
      <c r="K11" s="16">
        <f t="shared" si="0"/>
        <v>2</v>
      </c>
      <c r="L11" s="19">
        <f t="shared" si="1"/>
        <v>0.36249999999999999</v>
      </c>
      <c r="M11" s="19">
        <f t="shared" si="2"/>
        <v>0.72499999999999998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</v>
      </c>
      <c r="U11" s="18">
        <f t="shared" si="5"/>
        <v>0.36249999999999999</v>
      </c>
      <c r="V11" s="18">
        <f t="shared" si="6"/>
        <v>0.72499999999999998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+Y11+'03'!AB11</f>
        <v>0</v>
      </c>
      <c r="AB11" s="30">
        <f>+Z11+'03'!AC11</f>
        <v>0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+'03'!T12</f>
        <v>14</v>
      </c>
      <c r="F12" s="19">
        <f>+'03'!U12</f>
        <v>0.36249999999999999</v>
      </c>
      <c r="G12" s="17">
        <f>+'03'!V12</f>
        <v>5.0750000000000002</v>
      </c>
      <c r="H12" s="17"/>
      <c r="I12" s="18"/>
      <c r="J12" s="18">
        <f t="shared" si="11"/>
        <v>0</v>
      </c>
      <c r="K12" s="16">
        <f t="shared" si="0"/>
        <v>14</v>
      </c>
      <c r="L12" s="19">
        <f t="shared" si="1"/>
        <v>0.36249999999999999</v>
      </c>
      <c r="M12" s="19">
        <f t="shared" si="2"/>
        <v>5.0750000000000002</v>
      </c>
      <c r="N12" s="17"/>
      <c r="O12" s="18">
        <f t="shared" si="9"/>
        <v>0</v>
      </c>
      <c r="P12" s="17"/>
      <c r="Q12" s="18">
        <f t="shared" si="10"/>
        <v>0</v>
      </c>
      <c r="R12" s="17">
        <v>1</v>
      </c>
      <c r="S12" s="18">
        <f t="shared" si="3"/>
        <v>0.36249999999999999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1</v>
      </c>
      <c r="Z12" s="26">
        <f t="shared" si="7"/>
        <v>1</v>
      </c>
      <c r="AA12" s="35">
        <f>+Y12+'03'!AB12</f>
        <v>1</v>
      </c>
      <c r="AB12" s="30">
        <f>+Z12+'03'!AC12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+'03'!T13</f>
        <v>19</v>
      </c>
      <c r="F13" s="19">
        <f>+'03'!U13</f>
        <v>0.36249999999999999</v>
      </c>
      <c r="G13" s="17">
        <f>+'03'!V13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+Y13+'03'!AB13</f>
        <v>0</v>
      </c>
      <c r="AB13" s="30">
        <f>+Z13+'03'!AC13</f>
        <v>0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+'03'!T14</f>
        <v>20</v>
      </c>
      <c r="F14" s="19">
        <f>+'03'!U14</f>
        <v>0.36249999999999999</v>
      </c>
      <c r="G14" s="17">
        <f>+'03'!V14</f>
        <v>7.25</v>
      </c>
      <c r="H14" s="17"/>
      <c r="I14" s="18"/>
      <c r="J14" s="18">
        <f t="shared" si="11"/>
        <v>0</v>
      </c>
      <c r="K14" s="16">
        <f t="shared" si="0"/>
        <v>20</v>
      </c>
      <c r="L14" s="19">
        <f t="shared" si="1"/>
        <v>0.36249999999999999</v>
      </c>
      <c r="M14" s="19">
        <f t="shared" si="2"/>
        <v>7.25</v>
      </c>
      <c r="N14" s="17"/>
      <c r="O14" s="18">
        <f t="shared" si="9"/>
        <v>0</v>
      </c>
      <c r="P14" s="17"/>
      <c r="Q14" s="18">
        <f t="shared" si="10"/>
        <v>0</v>
      </c>
      <c r="R14" s="17">
        <v>2</v>
      </c>
      <c r="S14" s="18">
        <f t="shared" si="3"/>
        <v>0.72499999999999998</v>
      </c>
      <c r="T14" s="17">
        <f t="shared" si="4"/>
        <v>18</v>
      </c>
      <c r="U14" s="18">
        <f t="shared" si="5"/>
        <v>0.36249999999999999</v>
      </c>
      <c r="V14" s="18">
        <f t="shared" si="6"/>
        <v>6.5249999999999995</v>
      </c>
      <c r="W14" s="1" t="str">
        <f>+$B$14</f>
        <v>Schweppes Ginger Ale 330ml (24cans)</v>
      </c>
      <c r="Y14" s="2">
        <f>+$R$14</f>
        <v>2</v>
      </c>
      <c r="Z14" s="26">
        <f t="shared" si="7"/>
        <v>2</v>
      </c>
      <c r="AA14" s="35">
        <f>+Y14+'03'!AB14</f>
        <v>2</v>
      </c>
      <c r="AB14" s="30">
        <f>+Z14+'03'!AC14</f>
        <v>2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85</v>
      </c>
      <c r="F15" s="5"/>
      <c r="G15" s="22">
        <f>+SUM(G8:G14)</f>
        <v>30.8125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85</v>
      </c>
      <c r="L15" s="5"/>
      <c r="M15" s="22">
        <f t="shared" ref="M15:T15" si="13">+SUM(M8:M14)</f>
        <v>30.8125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7</v>
      </c>
      <c r="S15" s="22">
        <f t="shared" si="13"/>
        <v>2.5375000000000001</v>
      </c>
      <c r="T15" s="5">
        <f t="shared" si="13"/>
        <v>78</v>
      </c>
      <c r="U15" s="5"/>
      <c r="V15" s="22">
        <f t="shared" ref="V15" si="14">+SUM(V8:V14)</f>
        <v>28.274999999999999</v>
      </c>
      <c r="W15" s="1" t="str">
        <f>+$B$17</f>
        <v>Dasani 500ml (24 Btl)</v>
      </c>
      <c r="Y15" s="2">
        <f>+$R$17</f>
        <v>3</v>
      </c>
      <c r="Z15" s="26">
        <f>+Y15*0.5</f>
        <v>1.5</v>
      </c>
      <c r="AA15" s="35">
        <f>+Y15+'03'!AB15</f>
        <v>8</v>
      </c>
      <c r="AB15" s="30">
        <f>+Z15+'03'!AC15</f>
        <v>4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+Y16+'03'!AB16</f>
        <v>0</v>
      </c>
      <c r="AB16" s="30">
        <f>+Z16+'03'!AC16</f>
        <v>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+'03'!T17</f>
        <v>29</v>
      </c>
      <c r="F17" s="19">
        <f>+'03'!U17</f>
        <v>0.14833333333333334</v>
      </c>
      <c r="G17" s="17">
        <f>+'03'!V17</f>
        <v>4.3016666666666667</v>
      </c>
      <c r="H17" s="17"/>
      <c r="I17" s="18"/>
      <c r="J17" s="18">
        <f t="shared" ref="J17" si="15">+H17*I17</f>
        <v>0</v>
      </c>
      <c r="K17" s="16">
        <f>+E17+H17</f>
        <v>29</v>
      </c>
      <c r="L17" s="19">
        <f t="shared" ref="L17" si="16">IF(K17=0,,M17/K17)</f>
        <v>0.14833333333333334</v>
      </c>
      <c r="M17" s="19">
        <f>+J17+G17</f>
        <v>4.3016666666666667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3</v>
      </c>
      <c r="S17" s="18">
        <f t="shared" ref="S17" si="19">+R17*L17</f>
        <v>0.44500000000000006</v>
      </c>
      <c r="T17" s="17">
        <f t="shared" ref="T17" si="20">+K17-N17-P17-R17</f>
        <v>26</v>
      </c>
      <c r="U17" s="18">
        <f t="shared" ref="U17" si="21">IF(T17=0,,V17/T17)</f>
        <v>0.14833333333333334</v>
      </c>
      <c r="V17" s="18">
        <f t="shared" ref="V17" si="22">+T17*L17</f>
        <v>3.8566666666666669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+Y17+'03'!AB17</f>
        <v>0</v>
      </c>
      <c r="AB17" s="30">
        <f>+Z17+'03'!AC17</f>
        <v>0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29</v>
      </c>
      <c r="F18" s="5"/>
      <c r="G18" s="22">
        <f>+G17</f>
        <v>4.3016666666666667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29</v>
      </c>
      <c r="L18" s="5"/>
      <c r="M18" s="22">
        <f t="shared" ref="M18:T18" si="25">+M17</f>
        <v>4.3016666666666667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3</v>
      </c>
      <c r="S18" s="22">
        <f t="shared" si="25"/>
        <v>0.44500000000000006</v>
      </c>
      <c r="T18" s="5">
        <f t="shared" si="25"/>
        <v>26</v>
      </c>
      <c r="U18" s="5"/>
      <c r="V18" s="22">
        <f t="shared" ref="V18" si="26">+V17</f>
        <v>3.8566666666666669</v>
      </c>
      <c r="Y18" s="34">
        <f>+$R$22</f>
        <v>0</v>
      </c>
      <c r="Z18" s="26">
        <f t="shared" si="7"/>
        <v>0</v>
      </c>
      <c r="AA18" s="35">
        <f>+Y18+'03'!AB18</f>
        <v>0</v>
      </c>
      <c r="AB18" s="30">
        <f>+Z18+'03'!AB18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+Y19+'03'!AB19</f>
        <v>0</v>
      </c>
      <c r="AB19" s="30">
        <f>+Z19+'03'!AB19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+'03'!T20</f>
        <v>32</v>
      </c>
      <c r="F20" s="19">
        <f>+'03'!U20</f>
        <v>0.48</v>
      </c>
      <c r="G20" s="17">
        <f>+'03'!V20</f>
        <v>15.36</v>
      </c>
      <c r="H20" s="17"/>
      <c r="I20" s="18"/>
      <c r="J20" s="18">
        <f t="shared" ref="J20:J37" si="28">+H20*I20</f>
        <v>0</v>
      </c>
      <c r="K20" s="16">
        <f t="shared" ref="K20:K37" si="29">+E20+H20</f>
        <v>32</v>
      </c>
      <c r="L20" s="19">
        <f t="shared" ref="L20:L37" si="30">IF(K20=0,,M20/K20)</f>
        <v>0.48</v>
      </c>
      <c r="M20" s="19">
        <f t="shared" ref="M20:M37" si="31">+J20+G20</f>
        <v>15.36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32</v>
      </c>
      <c r="U20" s="18">
        <f t="shared" ref="U20:U37" si="35">IF(T20=0,,V20/T20)</f>
        <v>0.48</v>
      </c>
      <c r="V20" s="18">
        <f t="shared" ref="V20:V37" si="36">+T20*L20</f>
        <v>15.36</v>
      </c>
      <c r="W20" s="70" t="s">
        <v>43</v>
      </c>
      <c r="X20" s="70"/>
      <c r="Y20" s="28">
        <f>+SUM(Y8:Y19)</f>
        <v>10</v>
      </c>
      <c r="Z20" s="31">
        <f>+SUM(Z8:Z19)</f>
        <v>8.5</v>
      </c>
      <c r="AA20" s="28">
        <f>+SUM(AA8:AA19)</f>
        <v>15</v>
      </c>
      <c r="AB20" s="31">
        <f>+SUM(AB8:AB19)</f>
        <v>11</v>
      </c>
      <c r="AC20" s="32"/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+'03'!T21</f>
        <v>29</v>
      </c>
      <c r="F21" s="19">
        <f>+'03'!U21</f>
        <v>0.65</v>
      </c>
      <c r="G21" s="17">
        <f>+'03'!V21</f>
        <v>18.850000000000001</v>
      </c>
      <c r="H21" s="17"/>
      <c r="I21" s="18"/>
      <c r="J21" s="18">
        <f t="shared" si="28"/>
        <v>0</v>
      </c>
      <c r="K21" s="16">
        <f t="shared" si="29"/>
        <v>29</v>
      </c>
      <c r="L21" s="19">
        <f t="shared" si="30"/>
        <v>0.65</v>
      </c>
      <c r="M21" s="19">
        <f t="shared" si="31"/>
        <v>18.850000000000001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29</v>
      </c>
      <c r="U21" s="18">
        <f t="shared" si="35"/>
        <v>0.65</v>
      </c>
      <c r="V21" s="18">
        <f t="shared" si="36"/>
        <v>18.850000000000001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+'03'!T22</f>
        <v>0</v>
      </c>
      <c r="F22" s="19">
        <f>+'03'!U22</f>
        <v>0</v>
      </c>
      <c r="G22" s="17">
        <f>+'03'!V22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+'03'!T23</f>
        <v>0</v>
      </c>
      <c r="F23" s="19">
        <f>+'03'!U23</f>
        <v>0</v>
      </c>
      <c r="G23" s="17">
        <f>+'03'!V23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+'03'!T24</f>
        <v>0</v>
      </c>
      <c r="F24" s="19">
        <f>+'03'!U24</f>
        <v>0</v>
      </c>
      <c r="G24" s="17">
        <f>+'03'!V24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+'03'!T25</f>
        <v>0</v>
      </c>
      <c r="F25" s="19">
        <f>+'03'!U25</f>
        <v>0</v>
      </c>
      <c r="G25" s="17">
        <f>+'03'!V25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+'03'!T26</f>
        <v>0</v>
      </c>
      <c r="F26" s="19">
        <f>+'03'!U26</f>
        <v>0</v>
      </c>
      <c r="G26" s="17">
        <f>+'03'!V26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+'03'!T27</f>
        <v>0</v>
      </c>
      <c r="F27" s="19">
        <f>+'03'!U27</f>
        <v>0</v>
      </c>
      <c r="G27" s="17">
        <f>+'03'!V27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+'03'!T28</f>
        <v>0</v>
      </c>
      <c r="F28" s="19">
        <f>+'03'!U28</f>
        <v>0</v>
      </c>
      <c r="G28" s="17">
        <f>+'03'!V28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+'03'!T29</f>
        <v>0</v>
      </c>
      <c r="F29" s="19">
        <f>+'03'!U29</f>
        <v>0</v>
      </c>
      <c r="G29" s="17">
        <f>+'03'!V29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+'03'!T30</f>
        <v>0</v>
      </c>
      <c r="F30" s="19">
        <f>+'03'!U30</f>
        <v>0</v>
      </c>
      <c r="G30" s="17">
        <f>+'03'!V30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+'03'!T31</f>
        <v>0</v>
      </c>
      <c r="F31" s="19">
        <f>+'03'!U31</f>
        <v>0</v>
      </c>
      <c r="G31" s="17">
        <f>+'03'!V31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+'03'!T32</f>
        <v>0</v>
      </c>
      <c r="F32" s="19">
        <f>+'03'!U32</f>
        <v>0</v>
      </c>
      <c r="G32" s="17">
        <f>+'03'!V32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+'03'!T33</f>
        <v>0</v>
      </c>
      <c r="F33" s="19">
        <f>+'03'!U33</f>
        <v>0</v>
      </c>
      <c r="G33" s="17">
        <f>+'03'!V33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+'03'!T34</f>
        <v>0</v>
      </c>
      <c r="F34" s="19">
        <f>+'03'!U34</f>
        <v>0</v>
      </c>
      <c r="G34" s="17">
        <f>+'03'!V34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+'03'!T35</f>
        <v>0</v>
      </c>
      <c r="F35" s="19">
        <f>+'03'!U35</f>
        <v>0</v>
      </c>
      <c r="G35" s="17">
        <f>+'03'!V35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+'03'!T36</f>
        <v>0</v>
      </c>
      <c r="F36" s="19">
        <f>+'03'!U36</f>
        <v>0</v>
      </c>
      <c r="G36" s="17">
        <f>+'03'!V36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+'03'!T37</f>
        <v>0</v>
      </c>
      <c r="F37" s="19">
        <f>+'03'!U37</f>
        <v>0</v>
      </c>
      <c r="G37" s="17">
        <f>+'03'!V37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61</v>
      </c>
      <c r="F38" s="5"/>
      <c r="G38" s="22">
        <f>+SUM(G20:G37)</f>
        <v>34.21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61</v>
      </c>
      <c r="L38" s="5"/>
      <c r="M38" s="22">
        <f t="shared" ref="M38:T38" si="41">+SUM(M20:M37)</f>
        <v>34.21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61</v>
      </c>
      <c r="U38" s="5"/>
      <c r="V38" s="22">
        <f t="shared" ref="V38" si="42">+SUM(V20:V37)</f>
        <v>34.21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175</v>
      </c>
      <c r="F39" s="5"/>
      <c r="G39" s="22">
        <f>+SUM(G7:G38)/2</f>
        <v>69.32416666666667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175</v>
      </c>
      <c r="L39" s="5"/>
      <c r="M39" s="22">
        <f t="shared" ref="M39:T39" si="43">+SUM(M7:M38)/2</f>
        <v>69.32416666666667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10</v>
      </c>
      <c r="S39" s="22">
        <f t="shared" si="43"/>
        <v>2.9825000000000004</v>
      </c>
      <c r="T39" s="5">
        <f t="shared" si="43"/>
        <v>165</v>
      </c>
      <c r="U39" s="5"/>
      <c r="V39" s="22">
        <f>+SUM(V7:V38)/2</f>
        <v>66.341666666666669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F5A8-B089-4805-BAF1-29A6443E3A3E}">
  <sheetPr>
    <tabColor rgb="FF00B0F0"/>
  </sheetPr>
  <dimension ref="A2:AC47"/>
  <sheetViews>
    <sheetView view="pageBreakPreview" zoomScale="99" zoomScaleNormal="100" zoomScaleSheetLayoutView="80" workbookViewId="0">
      <pane xSplit="2" ySplit="7" topLeftCell="G8" activePane="bottomRight" state="frozen"/>
      <selection activeCell="K14" sqref="K14"/>
      <selection pane="topRight" activeCell="K14" sqref="K14"/>
      <selection pane="bottomLeft" activeCell="K14" sqref="K14"/>
      <selection pane="bottomRight" activeCell="R17" sqref="R17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hidden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27" style="1" customWidth="1"/>
    <col min="25" max="25" width="8.5546875" style="1" customWidth="1"/>
    <col min="26" max="26" width="10.33203125" style="1" customWidth="1"/>
    <col min="27" max="27" width="10.5546875" style="1" customWidth="1"/>
    <col min="28" max="28" width="13.1093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+'04'!T4+1</f>
        <v>45843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  <c r="AC6" s="25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25" t="s">
        <v>55</v>
      </c>
      <c r="Z7" s="25" t="s">
        <v>54</v>
      </c>
      <c r="AA7" s="25" t="s">
        <v>55</v>
      </c>
      <c r="AB7" s="25" t="s">
        <v>35</v>
      </c>
      <c r="AC7" s="25"/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+'04'!T8</f>
        <v>-2</v>
      </c>
      <c r="F8" s="19">
        <f>+'04'!U8</f>
        <v>0.36249999999999999</v>
      </c>
      <c r="G8" s="19">
        <f>+'04'!V8</f>
        <v>-0.72499999999999998</v>
      </c>
      <c r="H8" s="17"/>
      <c r="I8" s="18"/>
      <c r="J8" s="18">
        <f>+H8*I8</f>
        <v>0</v>
      </c>
      <c r="K8" s="16">
        <f t="shared" ref="K8:K14" si="0">+E8+H8</f>
        <v>-2</v>
      </c>
      <c r="L8" s="19">
        <f t="shared" ref="L8:L14" si="1">IF(K8=0,,M8/K8)</f>
        <v>0.36249999999999999</v>
      </c>
      <c r="M8" s="19">
        <f t="shared" ref="M8:M14" si="2">+J8+G8</f>
        <v>-0.72499999999999998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-2</v>
      </c>
      <c r="U8" s="18">
        <f t="shared" ref="U8:U14" si="5">IF(T8=0,,V8/T8)</f>
        <v>0.36249999999999999</v>
      </c>
      <c r="V8" s="18">
        <f t="shared" ref="V8:V14" si="6">+T8*L8</f>
        <v>-0.72499999999999998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+Y8+'04'!AA8</f>
        <v>3</v>
      </c>
      <c r="AB8" s="30">
        <f>+Z8+'04'!AB8</f>
        <v>3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+'04'!T9</f>
        <v>18</v>
      </c>
      <c r="F9" s="19">
        <f>+'04'!U9</f>
        <v>0.36249999999999999</v>
      </c>
      <c r="G9" s="19">
        <f>+'04'!V9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+Y9+'04'!AA9</f>
        <v>0</v>
      </c>
      <c r="AB9" s="30">
        <f>+Z9+'04'!AB9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+'04'!T10</f>
        <v>10</v>
      </c>
      <c r="F10" s="19">
        <f>+'04'!U10</f>
        <v>0.36249999999999999</v>
      </c>
      <c r="G10" s="19">
        <f>+'04'!V10</f>
        <v>3.625</v>
      </c>
      <c r="H10" s="17"/>
      <c r="I10" s="18"/>
      <c r="J10" s="18">
        <f t="shared" ref="J10:J14" si="11">+H10*I10</f>
        <v>0</v>
      </c>
      <c r="K10" s="16">
        <f t="shared" si="0"/>
        <v>10</v>
      </c>
      <c r="L10" s="19">
        <f t="shared" si="1"/>
        <v>0.36249999999999999</v>
      </c>
      <c r="M10" s="19">
        <f t="shared" si="2"/>
        <v>3.625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10</v>
      </c>
      <c r="U10" s="18">
        <f t="shared" si="5"/>
        <v>0.36249999999999999</v>
      </c>
      <c r="V10" s="18">
        <f t="shared" si="6"/>
        <v>3.625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+Y10+'04'!AA10</f>
        <v>1</v>
      </c>
      <c r="AB10" s="30">
        <f>+Z10+'04'!AB10</f>
        <v>1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+'04'!T11</f>
        <v>2</v>
      </c>
      <c r="F11" s="19">
        <f>+'04'!U11</f>
        <v>0.36249999999999999</v>
      </c>
      <c r="G11" s="19">
        <f>+'04'!V11</f>
        <v>0.72499999999999998</v>
      </c>
      <c r="H11" s="17"/>
      <c r="I11" s="18"/>
      <c r="J11" s="18">
        <f t="shared" si="11"/>
        <v>0</v>
      </c>
      <c r="K11" s="16">
        <f t="shared" si="0"/>
        <v>2</v>
      </c>
      <c r="L11" s="19">
        <f t="shared" si="1"/>
        <v>0.36249999999999999</v>
      </c>
      <c r="M11" s="19">
        <f t="shared" si="2"/>
        <v>0.72499999999999998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</v>
      </c>
      <c r="U11" s="18">
        <f t="shared" si="5"/>
        <v>0.36249999999999999</v>
      </c>
      <c r="V11" s="18">
        <f t="shared" si="6"/>
        <v>0.72499999999999998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+Y11+'04'!AA11</f>
        <v>0</v>
      </c>
      <c r="AB11" s="30">
        <f>+Z11+'04'!AB11</f>
        <v>0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+'04'!T12</f>
        <v>13</v>
      </c>
      <c r="F12" s="19">
        <f>+'04'!U12</f>
        <v>0.36249999999999993</v>
      </c>
      <c r="G12" s="19">
        <f>+'04'!V12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+Y12+'04'!AA12</f>
        <v>1</v>
      </c>
      <c r="AB12" s="30">
        <f>+Z12+'04'!AB12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+'04'!T13</f>
        <v>19</v>
      </c>
      <c r="F13" s="19">
        <f>+'04'!U13</f>
        <v>0.36249999999999999</v>
      </c>
      <c r="G13" s="19">
        <f>+'04'!V13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+Y13+'04'!AA13</f>
        <v>0</v>
      </c>
      <c r="AB13" s="30">
        <f>+Z13+'04'!AB13</f>
        <v>0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+'04'!T14</f>
        <v>18</v>
      </c>
      <c r="F14" s="19">
        <f>+'04'!U14</f>
        <v>0.36249999999999999</v>
      </c>
      <c r="G14" s="19">
        <f>+'04'!V14</f>
        <v>6.5249999999999995</v>
      </c>
      <c r="H14" s="17"/>
      <c r="I14" s="18"/>
      <c r="J14" s="18">
        <f t="shared" si="11"/>
        <v>0</v>
      </c>
      <c r="K14" s="16">
        <f t="shared" si="0"/>
        <v>18</v>
      </c>
      <c r="L14" s="19">
        <f t="shared" si="1"/>
        <v>0.36249999999999999</v>
      </c>
      <c r="M14" s="19">
        <f t="shared" si="2"/>
        <v>6.5249999999999995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18</v>
      </c>
      <c r="U14" s="18">
        <f t="shared" si="5"/>
        <v>0.36249999999999999</v>
      </c>
      <c r="V14" s="18">
        <f t="shared" si="6"/>
        <v>6.5249999999999995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+Y14+'04'!AA14</f>
        <v>2</v>
      </c>
      <c r="AB14" s="30">
        <f>+Z14+'04'!AB14</f>
        <v>2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78</v>
      </c>
      <c r="F15" s="5"/>
      <c r="G15" s="22">
        <f>+SUM(G8:G14)</f>
        <v>28.274999999999999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78</v>
      </c>
      <c r="L15" s="5"/>
      <c r="M15" s="22">
        <f t="shared" ref="M15:T15" si="13">+SUM(M8:M14)</f>
        <v>28.274999999999999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78</v>
      </c>
      <c r="U15" s="5"/>
      <c r="V15" s="22">
        <f t="shared" ref="V15" si="14">+SUM(V8:V14)</f>
        <v>28.274999999999999</v>
      </c>
      <c r="W15" s="1" t="str">
        <f>+$B$17</f>
        <v>Dasani 500ml (24 Btl)</v>
      </c>
      <c r="Y15" s="2">
        <f>+$R$17</f>
        <v>1</v>
      </c>
      <c r="Z15" s="26">
        <f>+Y15*0.5</f>
        <v>0.5</v>
      </c>
      <c r="AA15" s="35">
        <f>+Y15+'04'!AA15</f>
        <v>9</v>
      </c>
      <c r="AB15" s="30">
        <f>+Z15+'04'!AB15</f>
        <v>4.5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1</v>
      </c>
      <c r="Z16" s="26">
        <f>+Y16*1.25</f>
        <v>1.25</v>
      </c>
      <c r="AA16" s="35">
        <f>+Y16+'04'!AA16</f>
        <v>1</v>
      </c>
      <c r="AB16" s="30">
        <f>+Z16+'04'!AB16</f>
        <v>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+'04'!T17</f>
        <v>26</v>
      </c>
      <c r="F17" s="19">
        <f>+'04'!U17</f>
        <v>0.14833333333333334</v>
      </c>
      <c r="G17" s="19">
        <f>+'04'!V17</f>
        <v>3.8566666666666669</v>
      </c>
      <c r="H17" s="17"/>
      <c r="I17" s="18"/>
      <c r="J17" s="18">
        <f t="shared" ref="J17" si="15">+H17*I17</f>
        <v>0</v>
      </c>
      <c r="K17" s="16">
        <f>+E17+H17</f>
        <v>26</v>
      </c>
      <c r="L17" s="19">
        <f t="shared" ref="L17" si="16">IF(K17=0,,M17/K17)</f>
        <v>0.14833333333333334</v>
      </c>
      <c r="M17" s="19">
        <f>+J17+G17</f>
        <v>3.8566666666666669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1</v>
      </c>
      <c r="S17" s="18">
        <f t="shared" ref="S17" si="19">+R17*L17</f>
        <v>0.14833333333333334</v>
      </c>
      <c r="T17" s="17">
        <f t="shared" ref="T17" si="20">+K17-N17-P17-R17</f>
        <v>25</v>
      </c>
      <c r="U17" s="18">
        <f t="shared" ref="U17" si="21">IF(T17=0,,V17/T17)</f>
        <v>0.14833333333333334</v>
      </c>
      <c r="V17" s="18">
        <f t="shared" ref="V17" si="22">+T17*L17</f>
        <v>3.7083333333333335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+Y17+'04'!AA17</f>
        <v>0</v>
      </c>
      <c r="AB17" s="30">
        <f>+Z17+'04'!AB17</f>
        <v>0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26</v>
      </c>
      <c r="F18" s="5"/>
      <c r="G18" s="22">
        <f>+G17</f>
        <v>3.8566666666666669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26</v>
      </c>
      <c r="L18" s="5"/>
      <c r="M18" s="22">
        <f t="shared" ref="M18:T18" si="25">+M17</f>
        <v>3.8566666666666669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1</v>
      </c>
      <c r="S18" s="22">
        <f t="shared" si="25"/>
        <v>0.14833333333333334</v>
      </c>
      <c r="T18" s="5">
        <f t="shared" si="25"/>
        <v>25</v>
      </c>
      <c r="U18" s="5"/>
      <c r="V18" s="22">
        <f t="shared" ref="V18" si="26">+V17</f>
        <v>3.7083333333333335</v>
      </c>
      <c r="Y18" s="34">
        <f>+$R$22</f>
        <v>0</v>
      </c>
      <c r="Z18" s="26">
        <f t="shared" si="7"/>
        <v>0</v>
      </c>
      <c r="AA18" s="35">
        <f>+Y18+'04'!AA18</f>
        <v>0</v>
      </c>
      <c r="AB18" s="30">
        <f>+Z18+'04'!AB18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+Y19+'04'!AA19</f>
        <v>0</v>
      </c>
      <c r="AB19" s="30">
        <f>+Z19+'04'!AB19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+'04'!T20</f>
        <v>32</v>
      </c>
      <c r="F20" s="19">
        <f>+'04'!U20</f>
        <v>0.48</v>
      </c>
      <c r="G20" s="19">
        <f>+'04'!V20</f>
        <v>15.36</v>
      </c>
      <c r="H20" s="17"/>
      <c r="I20" s="18"/>
      <c r="J20" s="18">
        <f t="shared" ref="J20:J37" si="28">+H20*I20</f>
        <v>0</v>
      </c>
      <c r="K20" s="16">
        <f t="shared" ref="K20:K37" si="29">+E20+H20</f>
        <v>32</v>
      </c>
      <c r="L20" s="19">
        <f t="shared" ref="L20:L37" si="30">IF(K20=0,,M20/K20)</f>
        <v>0.48</v>
      </c>
      <c r="M20" s="19">
        <f t="shared" ref="M20:M37" si="31">+J20+G20</f>
        <v>15.36</v>
      </c>
      <c r="N20" s="17"/>
      <c r="O20" s="18">
        <f t="shared" ref="O20:O37" si="32">+N20*L20</f>
        <v>0</v>
      </c>
      <c r="P20" s="17"/>
      <c r="Q20" s="18">
        <f>+P20*L20</f>
        <v>0</v>
      </c>
      <c r="R20" s="17">
        <v>1</v>
      </c>
      <c r="S20" s="18">
        <f t="shared" ref="S20:S37" si="33">+R20*L20</f>
        <v>0.48</v>
      </c>
      <c r="T20" s="17">
        <f t="shared" ref="T20:T37" si="34">+K20-N20-P20-R20</f>
        <v>31</v>
      </c>
      <c r="U20" s="18">
        <f t="shared" ref="U20:U37" si="35">IF(T20=0,,V20/T20)</f>
        <v>0.48</v>
      </c>
      <c r="V20" s="18">
        <f t="shared" ref="V20:V37" si="36">+T20*L20</f>
        <v>14.879999999999999</v>
      </c>
      <c r="W20" s="70" t="s">
        <v>43</v>
      </c>
      <c r="X20" s="70"/>
      <c r="Y20" s="28">
        <f>+SUM(Y8:Y19)</f>
        <v>2</v>
      </c>
      <c r="Z20" s="31">
        <f>+SUM(Z8:Z19)</f>
        <v>1.75</v>
      </c>
      <c r="AA20" s="28">
        <f>+SUM(AA8:AA19)</f>
        <v>17</v>
      </c>
      <c r="AB20" s="31">
        <f>+SUM(AB8:AB19)</f>
        <v>12.75</v>
      </c>
      <c r="AC20" s="32"/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+'04'!T21</f>
        <v>29</v>
      </c>
      <c r="F21" s="19">
        <f>+'04'!U21</f>
        <v>0.65</v>
      </c>
      <c r="G21" s="19">
        <f>+'04'!V21</f>
        <v>18.850000000000001</v>
      </c>
      <c r="H21" s="17"/>
      <c r="I21" s="18"/>
      <c r="J21" s="18">
        <f t="shared" si="28"/>
        <v>0</v>
      </c>
      <c r="K21" s="16">
        <f t="shared" si="29"/>
        <v>29</v>
      </c>
      <c r="L21" s="19">
        <f t="shared" si="30"/>
        <v>0.65</v>
      </c>
      <c r="M21" s="19">
        <f t="shared" si="31"/>
        <v>18.850000000000001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29</v>
      </c>
      <c r="U21" s="18">
        <f t="shared" si="35"/>
        <v>0.65</v>
      </c>
      <c r="V21" s="18">
        <f t="shared" si="36"/>
        <v>18.850000000000001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+'04'!T22</f>
        <v>0</v>
      </c>
      <c r="F22" s="19">
        <f>+'04'!U22</f>
        <v>0</v>
      </c>
      <c r="G22" s="19">
        <f>+'04'!V22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+'04'!T23</f>
        <v>0</v>
      </c>
      <c r="F23" s="19">
        <f>+'04'!U23</f>
        <v>0</v>
      </c>
      <c r="G23" s="19">
        <f>+'04'!V23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+'04'!T24</f>
        <v>0</v>
      </c>
      <c r="F24" s="19">
        <f>+'04'!U24</f>
        <v>0</v>
      </c>
      <c r="G24" s="19">
        <f>+'04'!V24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+'04'!T25</f>
        <v>0</v>
      </c>
      <c r="F25" s="19">
        <f>+'04'!U25</f>
        <v>0</v>
      </c>
      <c r="G25" s="19">
        <f>+'04'!V25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+'04'!T26</f>
        <v>0</v>
      </c>
      <c r="F26" s="19">
        <f>+'04'!U26</f>
        <v>0</v>
      </c>
      <c r="G26" s="19">
        <f>+'04'!V26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+'04'!T27</f>
        <v>0</v>
      </c>
      <c r="F27" s="19">
        <f>+'04'!U27</f>
        <v>0</v>
      </c>
      <c r="G27" s="19">
        <f>+'04'!V27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+'04'!T28</f>
        <v>0</v>
      </c>
      <c r="F28" s="19">
        <f>+'04'!U28</f>
        <v>0</v>
      </c>
      <c r="G28" s="19">
        <f>+'04'!V28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+'04'!T29</f>
        <v>0</v>
      </c>
      <c r="F29" s="19">
        <f>+'04'!U29</f>
        <v>0</v>
      </c>
      <c r="G29" s="19">
        <f>+'04'!V29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+'04'!T30</f>
        <v>0</v>
      </c>
      <c r="F30" s="19">
        <f>+'04'!U30</f>
        <v>0</v>
      </c>
      <c r="G30" s="19">
        <f>+'04'!V30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+'04'!T31</f>
        <v>0</v>
      </c>
      <c r="F31" s="19">
        <f>+'04'!U31</f>
        <v>0</v>
      </c>
      <c r="G31" s="19">
        <f>+'04'!V31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+'04'!T32</f>
        <v>0</v>
      </c>
      <c r="F32" s="19">
        <f>+'04'!U32</f>
        <v>0</v>
      </c>
      <c r="G32" s="19">
        <f>+'04'!V32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+'04'!T33</f>
        <v>0</v>
      </c>
      <c r="F33" s="19">
        <f>+'04'!U33</f>
        <v>0</v>
      </c>
      <c r="G33" s="19">
        <f>+'04'!V33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+'04'!T34</f>
        <v>0</v>
      </c>
      <c r="F34" s="19">
        <f>+'04'!U34</f>
        <v>0</v>
      </c>
      <c r="G34" s="19">
        <f>+'04'!V34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+'04'!T35</f>
        <v>0</v>
      </c>
      <c r="F35" s="19">
        <f>+'04'!U35</f>
        <v>0</v>
      </c>
      <c r="G35" s="19">
        <f>+'04'!V35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+'04'!T36</f>
        <v>0</v>
      </c>
      <c r="F36" s="19">
        <f>+'04'!U36</f>
        <v>0</v>
      </c>
      <c r="G36" s="19">
        <f>+'04'!V36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+'04'!T37</f>
        <v>0</v>
      </c>
      <c r="F37" s="19">
        <f>+'04'!U37</f>
        <v>0</v>
      </c>
      <c r="G37" s="19">
        <f>+'04'!V37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61</v>
      </c>
      <c r="F38" s="5"/>
      <c r="G38" s="22">
        <f>+SUM(G20:G37)</f>
        <v>34.21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61</v>
      </c>
      <c r="L38" s="5"/>
      <c r="M38" s="22">
        <f t="shared" ref="M38:T38" si="41">+SUM(M20:M37)</f>
        <v>34.21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1</v>
      </c>
      <c r="S38" s="22">
        <f t="shared" si="41"/>
        <v>0.48</v>
      </c>
      <c r="T38" s="5">
        <f t="shared" si="41"/>
        <v>60</v>
      </c>
      <c r="U38" s="5"/>
      <c r="V38" s="22">
        <f t="shared" ref="V38" si="42">+SUM(V20:V37)</f>
        <v>33.730000000000004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165</v>
      </c>
      <c r="F39" s="5"/>
      <c r="G39" s="22">
        <f>+SUM(G7:G38)/2</f>
        <v>66.341666666666669</v>
      </c>
      <c r="H39" s="5">
        <f>+SUM(H7:H38)/2</f>
        <v>0</v>
      </c>
      <c r="I39" s="5"/>
      <c r="J39" s="22">
        <f>+SUM(J7:J38)/2</f>
        <v>0</v>
      </c>
      <c r="K39" s="5">
        <f>+SUM(K7:K38)/2</f>
        <v>165</v>
      </c>
      <c r="L39" s="5"/>
      <c r="M39" s="22">
        <f t="shared" ref="M39:T39" si="43">+SUM(M7:M38)/2</f>
        <v>66.341666666666669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0.6283333333333333</v>
      </c>
      <c r="T39" s="5">
        <f t="shared" si="43"/>
        <v>163</v>
      </c>
      <c r="U39" s="5"/>
      <c r="V39" s="22">
        <f>+SUM(V7:V38)/2</f>
        <v>65.713333333333338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9953-ECDD-4672-9208-5CDC4693C722}">
  <sheetPr>
    <tabColor rgb="FF00B0F0"/>
  </sheetPr>
  <dimension ref="A2:AC47"/>
  <sheetViews>
    <sheetView view="pageBreakPreview" zoomScale="90" zoomScaleNormal="100" zoomScaleSheetLayoutView="90" workbookViewId="0">
      <pane xSplit="2" ySplit="7" topLeftCell="K8" activePane="bottomRight" state="frozen"/>
      <selection activeCell="K14" sqref="K14"/>
      <selection pane="topRight" activeCell="K14" sqref="K14"/>
      <selection pane="bottomLeft" activeCell="K14" sqref="K14"/>
      <selection pane="bottomRight" activeCell="R17" sqref="R17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109375" style="1" customWidth="1"/>
    <col min="25" max="25" width="9.6640625" style="1" customWidth="1"/>
    <col min="26" max="26" width="9.109375" style="1" customWidth="1"/>
    <col min="27" max="27" width="7.88671875" style="1" customWidth="1"/>
    <col min="28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+'05'!T4+1</f>
        <v>45844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+'05'!T8</f>
        <v>-2</v>
      </c>
      <c r="F8" s="19">
        <f>+'05'!U8</f>
        <v>0.36249999999999999</v>
      </c>
      <c r="G8" s="17">
        <f>+'05'!V8</f>
        <v>-0.72499999999999998</v>
      </c>
      <c r="H8" s="17"/>
      <c r="I8" s="18"/>
      <c r="J8" s="18">
        <f>+H8*I8</f>
        <v>0</v>
      </c>
      <c r="K8" s="16">
        <f t="shared" ref="K8:K14" si="0">+E8+H8</f>
        <v>-2</v>
      </c>
      <c r="L8" s="19">
        <f t="shared" ref="L8:L14" si="1">IF(K8=0,,M8/K8)</f>
        <v>0.36249999999999999</v>
      </c>
      <c r="M8" s="19">
        <f t="shared" ref="M8:M14" si="2">+J8+G8</f>
        <v>-0.72499999999999998</v>
      </c>
      <c r="N8" s="17"/>
      <c r="O8" s="18">
        <f>+N8*L8</f>
        <v>0</v>
      </c>
      <c r="P8" s="17"/>
      <c r="Q8" s="18">
        <f>+P8*L8</f>
        <v>0</v>
      </c>
      <c r="R8" s="17">
        <v>1</v>
      </c>
      <c r="S8" s="18">
        <f t="shared" ref="S8:S14" si="3">+R8*L8</f>
        <v>0.36249999999999999</v>
      </c>
      <c r="T8" s="17">
        <f t="shared" ref="T8:T14" si="4">+K8-N8-P8-R8</f>
        <v>-3</v>
      </c>
      <c r="U8" s="18">
        <f t="shared" ref="U8:U14" si="5">IF(T8=0,,V8/T8)</f>
        <v>0.36249999999999999</v>
      </c>
      <c r="V8" s="18">
        <f t="shared" ref="V8:V14" si="6">+T8*L8</f>
        <v>-1.0874999999999999</v>
      </c>
      <c r="W8" s="1" t="str">
        <f>+$B$8</f>
        <v>Cocacola Classic 330ml (24cans)</v>
      </c>
      <c r="Y8" s="2">
        <f>+$R$8</f>
        <v>1</v>
      </c>
      <c r="Z8" s="26">
        <f t="shared" ref="Z8:Z19" si="7">+Y8*1</f>
        <v>1</v>
      </c>
      <c r="AA8" s="35">
        <f>+Y8+'05'!AA8</f>
        <v>4</v>
      </c>
      <c r="AB8" s="30">
        <f>+Z8+'05'!AB8</f>
        <v>4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+'05'!T9</f>
        <v>18</v>
      </c>
      <c r="F9" s="19">
        <f>+'05'!U9</f>
        <v>0.36249999999999999</v>
      </c>
      <c r="G9" s="17">
        <f>+'05'!V9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+Y9+'05'!AA9</f>
        <v>0</v>
      </c>
      <c r="AB9" s="30">
        <f>+Z9+'05'!AB9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+'05'!T10</f>
        <v>10</v>
      </c>
      <c r="F10" s="19">
        <f>+'05'!U10</f>
        <v>0.36249999999999999</v>
      </c>
      <c r="G10" s="17">
        <f>+'05'!V10</f>
        <v>3.625</v>
      </c>
      <c r="H10" s="17"/>
      <c r="I10" s="18"/>
      <c r="J10" s="18">
        <f t="shared" ref="J10:J14" si="11">+H10*I10</f>
        <v>0</v>
      </c>
      <c r="K10" s="16">
        <f t="shared" si="0"/>
        <v>10</v>
      </c>
      <c r="L10" s="19">
        <f t="shared" si="1"/>
        <v>0.36249999999999999</v>
      </c>
      <c r="M10" s="19">
        <f t="shared" si="2"/>
        <v>3.625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10</v>
      </c>
      <c r="U10" s="18">
        <f t="shared" si="5"/>
        <v>0.36249999999999999</v>
      </c>
      <c r="V10" s="18">
        <f t="shared" si="6"/>
        <v>3.625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+Y10+'05'!AA10</f>
        <v>1</v>
      </c>
      <c r="AB10" s="30">
        <f>+Z10+'05'!AB10</f>
        <v>1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+'05'!T11</f>
        <v>2</v>
      </c>
      <c r="F11" s="19">
        <f>+'05'!U11</f>
        <v>0.36249999999999999</v>
      </c>
      <c r="G11" s="17">
        <f>+'05'!V11</f>
        <v>0.72499999999999998</v>
      </c>
      <c r="H11" s="17"/>
      <c r="I11" s="18"/>
      <c r="J11" s="18">
        <f t="shared" si="11"/>
        <v>0</v>
      </c>
      <c r="K11" s="16">
        <f t="shared" si="0"/>
        <v>2</v>
      </c>
      <c r="L11" s="19">
        <f t="shared" si="1"/>
        <v>0.36249999999999999</v>
      </c>
      <c r="M11" s="19">
        <f t="shared" si="2"/>
        <v>0.72499999999999998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</v>
      </c>
      <c r="U11" s="18">
        <f t="shared" si="5"/>
        <v>0.36249999999999999</v>
      </c>
      <c r="V11" s="18">
        <f t="shared" si="6"/>
        <v>0.72499999999999998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+Y11+'05'!AA11</f>
        <v>0</v>
      </c>
      <c r="AB11" s="30">
        <f>+Z11+'05'!AB11</f>
        <v>0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+'05'!T12</f>
        <v>13</v>
      </c>
      <c r="F12" s="19">
        <f>+'05'!U12</f>
        <v>0.36249999999999993</v>
      </c>
      <c r="G12" s="17">
        <f>+'05'!V12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+Y12+'05'!AA12</f>
        <v>1</v>
      </c>
      <c r="AB12" s="30">
        <f>+Z12+'05'!AB12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+'05'!T13</f>
        <v>19</v>
      </c>
      <c r="F13" s="19">
        <f>+'05'!U13</f>
        <v>0.36249999999999999</v>
      </c>
      <c r="G13" s="17">
        <f>+'05'!V13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+Y13+'05'!AA13</f>
        <v>0</v>
      </c>
      <c r="AB13" s="30">
        <f>+Z13+'05'!AB13</f>
        <v>0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+'05'!T14</f>
        <v>18</v>
      </c>
      <c r="F14" s="19">
        <f>+'05'!U14</f>
        <v>0.36249999999999999</v>
      </c>
      <c r="G14" s="17">
        <f>+'05'!V14</f>
        <v>6.5249999999999995</v>
      </c>
      <c r="H14" s="17"/>
      <c r="I14" s="18"/>
      <c r="J14" s="18">
        <f t="shared" si="11"/>
        <v>0</v>
      </c>
      <c r="K14" s="16">
        <f t="shared" si="0"/>
        <v>18</v>
      </c>
      <c r="L14" s="19">
        <f t="shared" si="1"/>
        <v>0.36249999999999999</v>
      </c>
      <c r="M14" s="19">
        <f t="shared" si="2"/>
        <v>6.5249999999999995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18</v>
      </c>
      <c r="U14" s="18">
        <f t="shared" si="5"/>
        <v>0.36249999999999999</v>
      </c>
      <c r="V14" s="18">
        <f t="shared" si="6"/>
        <v>6.5249999999999995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+Y14+'05'!AA14</f>
        <v>2</v>
      </c>
      <c r="AB14" s="30">
        <f>+Z14+'05'!AB14</f>
        <v>2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78</v>
      </c>
      <c r="F15" s="5"/>
      <c r="G15" s="22">
        <f>+SUM(G8:G14)</f>
        <v>28.274999999999999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78</v>
      </c>
      <c r="L15" s="5"/>
      <c r="M15" s="22">
        <f t="shared" ref="M15:T15" si="13">+SUM(M8:M14)</f>
        <v>28.274999999999999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1</v>
      </c>
      <c r="S15" s="22">
        <f t="shared" si="13"/>
        <v>0.36249999999999999</v>
      </c>
      <c r="T15" s="5">
        <f t="shared" si="13"/>
        <v>77</v>
      </c>
      <c r="U15" s="5"/>
      <c r="V15" s="22">
        <f t="shared" ref="V15" si="14">+SUM(V8:V14)</f>
        <v>27.912499999999998</v>
      </c>
      <c r="W15" s="1" t="str">
        <f>+$B$17</f>
        <v>Dasani 500ml (24 Btl)</v>
      </c>
      <c r="Y15" s="2">
        <f>+$R$17</f>
        <v>1</v>
      </c>
      <c r="Z15" s="26">
        <f>+Y15*0.5</f>
        <v>0.5</v>
      </c>
      <c r="AA15" s="35">
        <f>+Y15+'05'!AA15</f>
        <v>10</v>
      </c>
      <c r="AB15" s="30">
        <f>+Z15+'05'!AB15</f>
        <v>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+Y16+'05'!AA16</f>
        <v>1</v>
      </c>
      <c r="AB16" s="30">
        <f>+Z16+'05'!AB16</f>
        <v>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+'05'!T17</f>
        <v>25</v>
      </c>
      <c r="F17" s="19">
        <f>+'05'!U17</f>
        <v>0.14833333333333334</v>
      </c>
      <c r="G17" s="19">
        <f>+'05'!V17</f>
        <v>3.7083333333333335</v>
      </c>
      <c r="H17" s="17"/>
      <c r="I17" s="18"/>
      <c r="J17" s="18">
        <f t="shared" ref="J17" si="15">+H17*I17</f>
        <v>0</v>
      </c>
      <c r="K17" s="16">
        <f>+E17+H17</f>
        <v>25</v>
      </c>
      <c r="L17" s="19">
        <f t="shared" ref="L17" si="16">IF(K17=0,,M17/K17)</f>
        <v>0.14833333333333334</v>
      </c>
      <c r="M17" s="19">
        <f>+J17+G17</f>
        <v>3.7083333333333335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1</v>
      </c>
      <c r="S17" s="18">
        <f t="shared" ref="S17" si="19">+R17*L17</f>
        <v>0.14833333333333334</v>
      </c>
      <c r="T17" s="17">
        <f t="shared" ref="T17" si="20">+K17-N17-P17-R17</f>
        <v>24</v>
      </c>
      <c r="U17" s="18">
        <f t="shared" ref="U17" si="21">IF(T17=0,,V17/T17)</f>
        <v>0.14833333333333334</v>
      </c>
      <c r="V17" s="18">
        <f t="shared" ref="V17" si="22">+T17*L17</f>
        <v>3.5600000000000005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+Y17+'05'!AA17</f>
        <v>0</v>
      </c>
      <c r="AB17" s="30">
        <f>+Z17+'05'!AB17</f>
        <v>0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25</v>
      </c>
      <c r="F18" s="5"/>
      <c r="G18" s="22">
        <f>+G17</f>
        <v>3.7083333333333335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25</v>
      </c>
      <c r="L18" s="5"/>
      <c r="M18" s="22">
        <f t="shared" ref="M18:T18" si="25">+M17</f>
        <v>3.7083333333333335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1</v>
      </c>
      <c r="S18" s="22">
        <f t="shared" si="25"/>
        <v>0.14833333333333334</v>
      </c>
      <c r="T18" s="5">
        <f t="shared" si="25"/>
        <v>24</v>
      </c>
      <c r="U18" s="5"/>
      <c r="V18" s="22">
        <f t="shared" ref="V18" si="26">+V17</f>
        <v>3.5600000000000005</v>
      </c>
      <c r="Y18" s="34">
        <f>+$R$22</f>
        <v>0</v>
      </c>
      <c r="Z18" s="26">
        <f t="shared" si="7"/>
        <v>0</v>
      </c>
      <c r="AA18" s="35">
        <f>+Y18+'05'!AA18</f>
        <v>0</v>
      </c>
      <c r="AB18" s="30">
        <f>+Z18+'05'!AB18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+Y19+'05'!AA19</f>
        <v>0</v>
      </c>
      <c r="AB19" s="30">
        <f>+Z19+'05'!AB19</f>
        <v>0</v>
      </c>
      <c r="AC19" s="25"/>
    </row>
    <row r="20" spans="1:29" ht="14.25" customHeight="1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+'05'!T20</f>
        <v>31</v>
      </c>
      <c r="F20" s="19">
        <f>+'05'!U20</f>
        <v>0.48</v>
      </c>
      <c r="G20" s="17">
        <f>+'05'!V20</f>
        <v>14.879999999999999</v>
      </c>
      <c r="H20" s="17"/>
      <c r="I20" s="18"/>
      <c r="J20" s="18">
        <f t="shared" ref="J20:J37" si="28">+H20*I20</f>
        <v>0</v>
      </c>
      <c r="K20" s="16">
        <f t="shared" ref="K20:K37" si="29">+E20+H20</f>
        <v>31</v>
      </c>
      <c r="L20" s="19">
        <f t="shared" ref="L20:L37" si="30">IF(K20=0,,M20/K20)</f>
        <v>0.48</v>
      </c>
      <c r="M20" s="19">
        <f t="shared" ref="M20:M37" si="31">+J20+G20</f>
        <v>14.879999999999999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31</v>
      </c>
      <c r="U20" s="18">
        <f t="shared" ref="U20:U37" si="35">IF(T20=0,,V20/T20)</f>
        <v>0.48</v>
      </c>
      <c r="V20" s="18">
        <f t="shared" ref="V20:V37" si="36">+T20*L20</f>
        <v>14.879999999999999</v>
      </c>
      <c r="W20" s="70" t="s">
        <v>43</v>
      </c>
      <c r="X20" s="70"/>
      <c r="Y20" s="28">
        <f>+SUM(Y8:Y19)</f>
        <v>2</v>
      </c>
      <c r="Z20" s="31">
        <f>+SUM(Z8:Z19)</f>
        <v>1.5</v>
      </c>
      <c r="AA20" s="28">
        <f>+SUM(AA8:AA19)</f>
        <v>19</v>
      </c>
      <c r="AB20" s="31">
        <f>+SUM(AB8:AB19)</f>
        <v>14.25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+'05'!T21</f>
        <v>29</v>
      </c>
      <c r="F21" s="19">
        <f>+'05'!U21</f>
        <v>0.65</v>
      </c>
      <c r="G21" s="17">
        <f>+'05'!V21</f>
        <v>18.850000000000001</v>
      </c>
      <c r="H21" s="17"/>
      <c r="I21" s="18"/>
      <c r="J21" s="18">
        <f t="shared" si="28"/>
        <v>0</v>
      </c>
      <c r="K21" s="16">
        <f t="shared" si="29"/>
        <v>29</v>
      </c>
      <c r="L21" s="19">
        <f t="shared" si="30"/>
        <v>0.65</v>
      </c>
      <c r="M21" s="19">
        <f t="shared" si="31"/>
        <v>18.850000000000001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29</v>
      </c>
      <c r="U21" s="18">
        <f t="shared" si="35"/>
        <v>0.65</v>
      </c>
      <c r="V21" s="18">
        <f t="shared" si="36"/>
        <v>18.850000000000001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+'05'!T22</f>
        <v>0</v>
      </c>
      <c r="F22" s="19">
        <f>+'05'!U22</f>
        <v>0</v>
      </c>
      <c r="G22" s="17">
        <f>+'05'!V22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+'05'!T23</f>
        <v>0</v>
      </c>
      <c r="F23" s="19">
        <f>+'05'!U23</f>
        <v>0</v>
      </c>
      <c r="G23" s="17">
        <f>+'05'!V23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+'05'!T24</f>
        <v>0</v>
      </c>
      <c r="F24" s="19">
        <f>+'05'!U24</f>
        <v>0</v>
      </c>
      <c r="G24" s="17">
        <f>+'05'!V24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+'05'!T25</f>
        <v>0</v>
      </c>
      <c r="F25" s="19">
        <f>+'05'!U25</f>
        <v>0</v>
      </c>
      <c r="G25" s="17">
        <f>+'05'!V25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+'05'!T26</f>
        <v>0</v>
      </c>
      <c r="F26" s="19">
        <f>+'05'!U26</f>
        <v>0</v>
      </c>
      <c r="G26" s="17">
        <f>+'05'!V26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+'05'!T27</f>
        <v>0</v>
      </c>
      <c r="F27" s="19">
        <f>+'05'!U27</f>
        <v>0</v>
      </c>
      <c r="G27" s="17">
        <f>+'05'!V27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+'05'!T28</f>
        <v>0</v>
      </c>
      <c r="F28" s="19">
        <f>+'05'!U28</f>
        <v>0</v>
      </c>
      <c r="G28" s="17">
        <f>+'05'!V28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+'05'!T29</f>
        <v>0</v>
      </c>
      <c r="F29" s="19">
        <f>+'05'!U29</f>
        <v>0</v>
      </c>
      <c r="G29" s="17">
        <f>+'05'!V29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+'05'!T30</f>
        <v>0</v>
      </c>
      <c r="F30" s="19">
        <f>+'05'!U30</f>
        <v>0</v>
      </c>
      <c r="G30" s="17">
        <f>+'05'!V30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+'05'!T31</f>
        <v>0</v>
      </c>
      <c r="F31" s="19">
        <f>+'05'!U31</f>
        <v>0</v>
      </c>
      <c r="G31" s="17">
        <f>+'05'!V31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+'05'!T32</f>
        <v>0</v>
      </c>
      <c r="F32" s="19">
        <f>+'05'!U32</f>
        <v>0</v>
      </c>
      <c r="G32" s="17">
        <f>+'05'!V32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+'05'!T33</f>
        <v>0</v>
      </c>
      <c r="F33" s="19">
        <f>+'05'!U33</f>
        <v>0</v>
      </c>
      <c r="G33" s="17">
        <f>+'05'!V33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+'05'!T34</f>
        <v>0</v>
      </c>
      <c r="F34" s="19">
        <f>+'05'!U34</f>
        <v>0</v>
      </c>
      <c r="G34" s="17">
        <f>+'05'!V34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+'05'!T35</f>
        <v>0</v>
      </c>
      <c r="F35" s="19">
        <f>+'05'!U35</f>
        <v>0</v>
      </c>
      <c r="G35" s="17">
        <f>+'05'!V35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+'05'!T36</f>
        <v>0</v>
      </c>
      <c r="F36" s="19">
        <f>+'05'!U36</f>
        <v>0</v>
      </c>
      <c r="G36" s="17">
        <f>+'05'!V36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+'05'!T37</f>
        <v>0</v>
      </c>
      <c r="F37" s="19">
        <f>+'05'!U37</f>
        <v>0</v>
      </c>
      <c r="G37" s="17">
        <f>+'05'!V37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60</v>
      </c>
      <c r="F38" s="5"/>
      <c r="G38" s="22">
        <f>+SUM(G20:G37)</f>
        <v>33.730000000000004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60</v>
      </c>
      <c r="L38" s="5"/>
      <c r="M38" s="22">
        <f t="shared" ref="M38:T38" si="41">+SUM(M20:M37)</f>
        <v>33.730000000000004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60</v>
      </c>
      <c r="U38" s="5"/>
      <c r="V38" s="22">
        <f t="shared" ref="V38" si="42">+SUM(V20:V37)</f>
        <v>33.730000000000004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163</v>
      </c>
      <c r="F39" s="5"/>
      <c r="G39" s="22">
        <f>+SUM(G7:G38)/2</f>
        <v>65.713333333333338</v>
      </c>
      <c r="H39" s="5">
        <f>+SUM(H7:H38)/2</f>
        <v>0</v>
      </c>
      <c r="I39" s="5"/>
      <c r="J39" s="22">
        <f>+SUM(J7:J38)/2</f>
        <v>0</v>
      </c>
      <c r="K39" s="5">
        <f>+SUM(K7:K38)/2</f>
        <v>163</v>
      </c>
      <c r="L39" s="5"/>
      <c r="M39" s="22">
        <f t="shared" ref="M39:T39" si="43">+SUM(M7:M38)/2</f>
        <v>65.713333333333338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0.51083333333333336</v>
      </c>
      <c r="T39" s="5">
        <f t="shared" si="43"/>
        <v>161</v>
      </c>
      <c r="U39" s="5"/>
      <c r="V39" s="22">
        <f>+SUM(V7:V38)/2</f>
        <v>65.202500000000015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F35B-DFEE-4147-97AD-B4EEDDB9DCDF}">
  <sheetPr>
    <tabColor rgb="FF00B0F0"/>
  </sheetPr>
  <dimension ref="A2:AC47"/>
  <sheetViews>
    <sheetView view="pageBreakPreview" zoomScale="90" zoomScaleNormal="100" zoomScaleSheetLayoutView="90" workbookViewId="0">
      <pane xSplit="2" ySplit="7" topLeftCell="J8" activePane="bottomRight" state="frozen"/>
      <selection activeCell="K14" sqref="K14"/>
      <selection pane="topRight" activeCell="K14" sqref="K14"/>
      <selection pane="bottomLeft" activeCell="K14" sqref="K14"/>
      <selection pane="bottomRight" activeCell="O21" sqref="O21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5.5546875" style="1" customWidth="1"/>
    <col min="25" max="25" width="8.109375" style="1" customWidth="1"/>
    <col min="26" max="26" width="9.109375" style="1" customWidth="1"/>
    <col min="27" max="27" width="8.6640625" style="1" customWidth="1"/>
    <col min="28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+'06'!T4+1</f>
        <v>45845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+'06'!T8</f>
        <v>-3</v>
      </c>
      <c r="F8" s="19">
        <f>+'06'!U8</f>
        <v>0.36249999999999999</v>
      </c>
      <c r="G8" s="17">
        <f>+'06'!V8</f>
        <v>-1.0874999999999999</v>
      </c>
      <c r="H8" s="17"/>
      <c r="I8" s="18"/>
      <c r="J8" s="18">
        <f>+H8*I8</f>
        <v>0</v>
      </c>
      <c r="K8" s="16">
        <f t="shared" ref="K8:K14" si="0">+E8+H8</f>
        <v>-3</v>
      </c>
      <c r="L8" s="19">
        <f t="shared" ref="L8:L14" si="1">IF(K8=0,,M8/K8)</f>
        <v>0.36249999999999999</v>
      </c>
      <c r="M8" s="19">
        <f t="shared" ref="M8:M14" si="2">+J8+G8</f>
        <v>-1.0874999999999999</v>
      </c>
      <c r="N8" s="17"/>
      <c r="O8" s="18">
        <f>+N8*L8</f>
        <v>0</v>
      </c>
      <c r="P8" s="17"/>
      <c r="Q8" s="18">
        <f>+P8*L8</f>
        <v>0</v>
      </c>
      <c r="R8" s="17">
        <v>4</v>
      </c>
      <c r="S8" s="18">
        <f t="shared" ref="S8:S14" si="3">+R8*L8</f>
        <v>1.45</v>
      </c>
      <c r="T8" s="17">
        <f t="shared" ref="T8:T14" si="4">+K8-N8-P8-R8</f>
        <v>-7</v>
      </c>
      <c r="U8" s="18">
        <f t="shared" ref="U8:U14" si="5">IF(T8=0,,V8/T8)</f>
        <v>0.36249999999999999</v>
      </c>
      <c r="V8" s="18">
        <f t="shared" ref="V8:V14" si="6">+T8*L8</f>
        <v>-2.5375000000000001</v>
      </c>
      <c r="W8" s="1" t="str">
        <f>+$B$8</f>
        <v>Cocacola Classic 330ml (24cans)</v>
      </c>
      <c r="Y8" s="2">
        <f>+$R$8</f>
        <v>4</v>
      </c>
      <c r="Z8" s="26">
        <f t="shared" ref="Z8:Z19" si="7">+Y8*1</f>
        <v>4</v>
      </c>
      <c r="AA8" s="35">
        <f>+Y8+'06'!AA8</f>
        <v>8</v>
      </c>
      <c r="AB8" s="30">
        <f>+Z8+'06'!AB8</f>
        <v>8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+'06'!T9</f>
        <v>18</v>
      </c>
      <c r="F9" s="19">
        <f>+'06'!U9</f>
        <v>0.36249999999999999</v>
      </c>
      <c r="G9" s="17">
        <f>+'06'!V9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+Y9+'06'!AA9</f>
        <v>0</v>
      </c>
      <c r="AB9" s="30">
        <f>+Z9+'06'!AB9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+'06'!T10</f>
        <v>10</v>
      </c>
      <c r="F10" s="19">
        <f>+'06'!U10</f>
        <v>0.36249999999999999</v>
      </c>
      <c r="G10" s="17">
        <f>+'06'!V10</f>
        <v>3.625</v>
      </c>
      <c r="H10" s="17"/>
      <c r="I10" s="18"/>
      <c r="J10" s="18">
        <f t="shared" ref="J10:J14" si="11">+H10*I10</f>
        <v>0</v>
      </c>
      <c r="K10" s="16">
        <f t="shared" si="0"/>
        <v>10</v>
      </c>
      <c r="L10" s="19">
        <f t="shared" si="1"/>
        <v>0.36249999999999999</v>
      </c>
      <c r="M10" s="19">
        <f t="shared" si="2"/>
        <v>3.625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10</v>
      </c>
      <c r="U10" s="18">
        <f t="shared" si="5"/>
        <v>0.36249999999999999</v>
      </c>
      <c r="V10" s="18">
        <f t="shared" si="6"/>
        <v>3.625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+Y10+'06'!AA10</f>
        <v>1</v>
      </c>
      <c r="AB10" s="30">
        <f>+Z10+'06'!AB10</f>
        <v>1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+'06'!T11</f>
        <v>2</v>
      </c>
      <c r="F11" s="19">
        <f>+'06'!U11</f>
        <v>0.36249999999999999</v>
      </c>
      <c r="G11" s="17">
        <f>+'06'!V11</f>
        <v>0.72499999999999998</v>
      </c>
      <c r="H11" s="17"/>
      <c r="I11" s="18"/>
      <c r="J11" s="18">
        <f t="shared" si="11"/>
        <v>0</v>
      </c>
      <c r="K11" s="16">
        <f t="shared" si="0"/>
        <v>2</v>
      </c>
      <c r="L11" s="19">
        <f t="shared" si="1"/>
        <v>0.36249999999999999</v>
      </c>
      <c r="M11" s="19">
        <f t="shared" si="2"/>
        <v>0.72499999999999998</v>
      </c>
      <c r="N11" s="17"/>
      <c r="O11" s="18">
        <f t="shared" si="9"/>
        <v>0</v>
      </c>
      <c r="P11" s="17"/>
      <c r="Q11" s="18">
        <f t="shared" si="10"/>
        <v>0</v>
      </c>
      <c r="R11" s="17">
        <v>2</v>
      </c>
      <c r="S11" s="18">
        <f t="shared" si="3"/>
        <v>0.72499999999999998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2</v>
      </c>
      <c r="Z11" s="26">
        <f t="shared" si="7"/>
        <v>2</v>
      </c>
      <c r="AA11" s="35">
        <f>+Y11+'06'!AA11</f>
        <v>2</v>
      </c>
      <c r="AB11" s="30">
        <f>+Z11+'06'!AB11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+'06'!T12</f>
        <v>13</v>
      </c>
      <c r="F12" s="19">
        <f>+'06'!U12</f>
        <v>0.36249999999999993</v>
      </c>
      <c r="G12" s="17">
        <f>+'06'!V12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+Y12+'06'!AA12</f>
        <v>1</v>
      </c>
      <c r="AB12" s="30">
        <f>+Z12+'06'!AB12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+'06'!T13</f>
        <v>19</v>
      </c>
      <c r="F13" s="19">
        <f>+'06'!U13</f>
        <v>0.36249999999999999</v>
      </c>
      <c r="G13" s="17">
        <f>+'06'!V13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+Y13+'06'!AA13</f>
        <v>0</v>
      </c>
      <c r="AB13" s="30">
        <f>+Z13+'06'!AB13</f>
        <v>0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+'06'!T14</f>
        <v>18</v>
      </c>
      <c r="F14" s="19">
        <f>+'06'!U14</f>
        <v>0.36249999999999999</v>
      </c>
      <c r="G14" s="17">
        <f>+'06'!V14</f>
        <v>6.5249999999999995</v>
      </c>
      <c r="H14" s="17"/>
      <c r="I14" s="18"/>
      <c r="J14" s="18">
        <f t="shared" si="11"/>
        <v>0</v>
      </c>
      <c r="K14" s="16">
        <f t="shared" si="0"/>
        <v>18</v>
      </c>
      <c r="L14" s="19">
        <f t="shared" si="1"/>
        <v>0.36249999999999999</v>
      </c>
      <c r="M14" s="19">
        <f t="shared" si="2"/>
        <v>6.5249999999999995</v>
      </c>
      <c r="N14" s="17"/>
      <c r="O14" s="18">
        <f t="shared" si="9"/>
        <v>0</v>
      </c>
      <c r="P14" s="17"/>
      <c r="Q14" s="18">
        <f t="shared" si="10"/>
        <v>0</v>
      </c>
      <c r="R14" s="17">
        <v>1</v>
      </c>
      <c r="S14" s="18">
        <f t="shared" si="3"/>
        <v>0.36249999999999999</v>
      </c>
      <c r="T14" s="17">
        <f t="shared" si="4"/>
        <v>17</v>
      </c>
      <c r="U14" s="18">
        <f t="shared" si="5"/>
        <v>0.36249999999999999</v>
      </c>
      <c r="V14" s="18">
        <f t="shared" si="6"/>
        <v>6.1624999999999996</v>
      </c>
      <c r="W14" s="1" t="str">
        <f>+$B$14</f>
        <v>Schweppes Ginger Ale 330ml (24cans)</v>
      </c>
      <c r="Y14" s="2">
        <f>+$R$14</f>
        <v>1</v>
      </c>
      <c r="Z14" s="26">
        <f t="shared" si="7"/>
        <v>1</v>
      </c>
      <c r="AA14" s="35">
        <f>+Y14+'06'!AA14</f>
        <v>3</v>
      </c>
      <c r="AB14" s="30">
        <f>+Z14+'06'!AB14</f>
        <v>3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77</v>
      </c>
      <c r="F15" s="5"/>
      <c r="G15" s="22">
        <f>+SUM(G8:G14)</f>
        <v>27.912499999999998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77</v>
      </c>
      <c r="L15" s="5"/>
      <c r="M15" s="22">
        <f t="shared" ref="M15:T15" si="13">+SUM(M8:M14)</f>
        <v>27.912499999999998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7</v>
      </c>
      <c r="S15" s="22">
        <f t="shared" si="13"/>
        <v>2.5374999999999996</v>
      </c>
      <c r="T15" s="5">
        <f t="shared" si="13"/>
        <v>70</v>
      </c>
      <c r="U15" s="5"/>
      <c r="V15" s="22">
        <f t="shared" ref="V15" si="14">+SUM(V8:V14)</f>
        <v>25.375</v>
      </c>
      <c r="W15" s="1" t="str">
        <f>+$B$17</f>
        <v>Dasani 500ml (24 Btl)</v>
      </c>
      <c r="Y15" s="2">
        <f>+$R$17</f>
        <v>2</v>
      </c>
      <c r="Z15" s="26">
        <f>+Y15*0.5</f>
        <v>1</v>
      </c>
      <c r="AA15" s="35">
        <f>+Y15+'06'!AA15</f>
        <v>12</v>
      </c>
      <c r="AB15" s="30">
        <f>+Z15+'06'!AB15</f>
        <v>6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2</v>
      </c>
      <c r="Z16" s="26">
        <f>+Y16*1.25</f>
        <v>2.5</v>
      </c>
      <c r="AA16" s="35">
        <f>+Y16+'06'!AA16</f>
        <v>3</v>
      </c>
      <c r="AB16" s="30">
        <f>+Z16+'06'!AB16</f>
        <v>3.75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+'06'!T17</f>
        <v>24</v>
      </c>
      <c r="F17" s="19">
        <f>+'06'!U17</f>
        <v>0.14833333333333334</v>
      </c>
      <c r="G17" s="19">
        <f>+'06'!V17</f>
        <v>3.5600000000000005</v>
      </c>
      <c r="H17" s="17"/>
      <c r="I17" s="18"/>
      <c r="J17" s="18">
        <f t="shared" ref="J17" si="15">+H17*I17</f>
        <v>0</v>
      </c>
      <c r="K17" s="16">
        <f>+E17+H17</f>
        <v>24</v>
      </c>
      <c r="L17" s="19">
        <f t="shared" ref="L17" si="16">IF(K17=0,,M17/K17)</f>
        <v>0.14833333333333334</v>
      </c>
      <c r="M17" s="19">
        <f>+J17+G17</f>
        <v>3.5600000000000005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2</v>
      </c>
      <c r="S17" s="18">
        <f t="shared" ref="S17" si="19">+R17*L17</f>
        <v>0.29666666666666669</v>
      </c>
      <c r="T17" s="17">
        <f t="shared" ref="T17" si="20">+K17-N17-P17-R17</f>
        <v>22</v>
      </c>
      <c r="U17" s="18">
        <f t="shared" ref="U17" si="21">IF(T17=0,,V17/T17)</f>
        <v>0.14833333333333334</v>
      </c>
      <c r="V17" s="18">
        <f t="shared" ref="V17" si="22">+T17*L17</f>
        <v>3.2633333333333336</v>
      </c>
      <c r="W17" s="1" t="str">
        <f>+$B$21</f>
        <v>Heineken 330ml CAN</v>
      </c>
      <c r="Y17" s="34">
        <f>+$R$21</f>
        <v>3</v>
      </c>
      <c r="Z17" s="26">
        <f>+Y17*1.25</f>
        <v>3.75</v>
      </c>
      <c r="AA17" s="35">
        <f>+Y17+'06'!AA17</f>
        <v>3</v>
      </c>
      <c r="AB17" s="30">
        <f>+Z17+'06'!AB17</f>
        <v>3.75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24</v>
      </c>
      <c r="F18" s="5"/>
      <c r="G18" s="22">
        <f>+G17</f>
        <v>3.5600000000000005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24</v>
      </c>
      <c r="L18" s="5"/>
      <c r="M18" s="22">
        <f t="shared" ref="M18:T18" si="25">+M17</f>
        <v>3.5600000000000005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2</v>
      </c>
      <c r="S18" s="22">
        <f t="shared" si="25"/>
        <v>0.29666666666666669</v>
      </c>
      <c r="T18" s="5">
        <f t="shared" si="25"/>
        <v>22</v>
      </c>
      <c r="U18" s="5"/>
      <c r="V18" s="22">
        <f t="shared" ref="V18" si="26">+V17</f>
        <v>3.2633333333333336</v>
      </c>
      <c r="Y18" s="34">
        <f>+$R$22</f>
        <v>0</v>
      </c>
      <c r="Z18" s="26">
        <f t="shared" si="7"/>
        <v>0</v>
      </c>
      <c r="AA18" s="35">
        <f>+Y18+'06'!AA18</f>
        <v>0</v>
      </c>
      <c r="AB18" s="30">
        <f>+Z18+'06'!AB18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+Y19+'06'!AA19</f>
        <v>0</v>
      </c>
      <c r="AB19" s="30">
        <f>+Z19+'06'!AB19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+'06'!T20</f>
        <v>31</v>
      </c>
      <c r="F20" s="19">
        <f>+'06'!U20</f>
        <v>0.48</v>
      </c>
      <c r="G20" s="17">
        <f>+'06'!V20</f>
        <v>14.879999999999999</v>
      </c>
      <c r="H20" s="17"/>
      <c r="I20" s="18"/>
      <c r="J20" s="18">
        <f t="shared" ref="J20:J37" si="28">+H20*I20</f>
        <v>0</v>
      </c>
      <c r="K20" s="16">
        <f t="shared" ref="K20:K37" si="29">+E20+H20</f>
        <v>31</v>
      </c>
      <c r="L20" s="19">
        <f t="shared" ref="L20:L37" si="30">IF(K20=0,,M20/K20)</f>
        <v>0.48</v>
      </c>
      <c r="M20" s="19">
        <f t="shared" ref="M20:M37" si="31">+J20+G20</f>
        <v>14.879999999999999</v>
      </c>
      <c r="N20" s="17"/>
      <c r="O20" s="18">
        <f t="shared" ref="O20:O37" si="32">+N20*L20</f>
        <v>0</v>
      </c>
      <c r="P20" s="17"/>
      <c r="Q20" s="18">
        <f>+P20*L20</f>
        <v>0</v>
      </c>
      <c r="R20" s="17">
        <v>2</v>
      </c>
      <c r="S20" s="18">
        <f t="shared" ref="S20:S37" si="33">+R20*L20</f>
        <v>0.96</v>
      </c>
      <c r="T20" s="17">
        <f t="shared" ref="T20:T37" si="34">+K20-N20-P20-R20</f>
        <v>29</v>
      </c>
      <c r="U20" s="18">
        <f t="shared" ref="U20:U37" si="35">IF(T20=0,,V20/T20)</f>
        <v>0.48</v>
      </c>
      <c r="V20" s="18">
        <f t="shared" ref="V20:V37" si="36">+T20*L20</f>
        <v>13.92</v>
      </c>
      <c r="W20" s="70" t="s">
        <v>43</v>
      </c>
      <c r="X20" s="70"/>
      <c r="Y20" s="28">
        <f>+SUM(Y8:Y19)</f>
        <v>14</v>
      </c>
      <c r="Z20" s="31">
        <f>+SUM(Z8:Z19)</f>
        <v>14.25</v>
      </c>
      <c r="AA20" s="28">
        <f>+SUM(AA8:AA19)</f>
        <v>33</v>
      </c>
      <c r="AB20" s="31">
        <f>+SUM(AB8:AB19)</f>
        <v>28.5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+'06'!T21</f>
        <v>29</v>
      </c>
      <c r="F21" s="19">
        <f>+'06'!U21</f>
        <v>0.65</v>
      </c>
      <c r="G21" s="17">
        <f>+'06'!V21</f>
        <v>18.850000000000001</v>
      </c>
      <c r="H21" s="17"/>
      <c r="I21" s="18"/>
      <c r="J21" s="18">
        <f t="shared" si="28"/>
        <v>0</v>
      </c>
      <c r="K21" s="16">
        <f t="shared" si="29"/>
        <v>29</v>
      </c>
      <c r="L21" s="19">
        <f t="shared" si="30"/>
        <v>0.65</v>
      </c>
      <c r="M21" s="19">
        <f t="shared" si="31"/>
        <v>18.850000000000001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>
        <v>3</v>
      </c>
      <c r="S21" s="18">
        <f t="shared" si="33"/>
        <v>1.9500000000000002</v>
      </c>
      <c r="T21" s="17">
        <f t="shared" si="34"/>
        <v>26</v>
      </c>
      <c r="U21" s="18">
        <f t="shared" si="35"/>
        <v>0.65000000000000013</v>
      </c>
      <c r="V21" s="18">
        <f t="shared" si="36"/>
        <v>16.900000000000002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+'06'!T22</f>
        <v>0</v>
      </c>
      <c r="F22" s="19">
        <f>+'06'!U22</f>
        <v>0</v>
      </c>
      <c r="G22" s="17">
        <f>+'06'!V22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+'06'!T23</f>
        <v>0</v>
      </c>
      <c r="F23" s="19">
        <f>+'06'!U23</f>
        <v>0</v>
      </c>
      <c r="G23" s="17">
        <f>+'06'!V23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+'06'!T24</f>
        <v>0</v>
      </c>
      <c r="F24" s="19">
        <f>+'06'!U24</f>
        <v>0</v>
      </c>
      <c r="G24" s="17">
        <f>+'06'!V24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+'06'!T25</f>
        <v>0</v>
      </c>
      <c r="F25" s="19">
        <f>+'06'!U25</f>
        <v>0</v>
      </c>
      <c r="G25" s="17">
        <f>+'06'!V25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+'06'!T26</f>
        <v>0</v>
      </c>
      <c r="F26" s="19">
        <f>+'06'!U26</f>
        <v>0</v>
      </c>
      <c r="G26" s="17">
        <f>+'06'!V26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+'06'!T27</f>
        <v>0</v>
      </c>
      <c r="F27" s="19">
        <f>+'06'!U27</f>
        <v>0</v>
      </c>
      <c r="G27" s="17">
        <f>+'06'!V27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+'06'!T28</f>
        <v>0</v>
      </c>
      <c r="F28" s="19">
        <f>+'06'!U28</f>
        <v>0</v>
      </c>
      <c r="G28" s="17">
        <f>+'06'!V28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+'06'!T29</f>
        <v>0</v>
      </c>
      <c r="F29" s="19">
        <f>+'06'!U29</f>
        <v>0</v>
      </c>
      <c r="G29" s="17">
        <f>+'06'!V29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+'06'!T30</f>
        <v>0</v>
      </c>
      <c r="F30" s="19">
        <f>+'06'!U30</f>
        <v>0</v>
      </c>
      <c r="G30" s="17">
        <f>+'06'!V30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+'06'!T31</f>
        <v>0</v>
      </c>
      <c r="F31" s="19">
        <f>+'06'!U31</f>
        <v>0</v>
      </c>
      <c r="G31" s="17">
        <f>+'06'!V31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+'06'!T32</f>
        <v>0</v>
      </c>
      <c r="F32" s="19">
        <f>+'06'!U32</f>
        <v>0</v>
      </c>
      <c r="G32" s="17">
        <f>+'06'!V32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+'06'!T33</f>
        <v>0</v>
      </c>
      <c r="F33" s="19">
        <f>+'06'!U33</f>
        <v>0</v>
      </c>
      <c r="G33" s="17">
        <f>+'06'!V33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+'06'!T34</f>
        <v>0</v>
      </c>
      <c r="F34" s="19">
        <f>+'06'!U34</f>
        <v>0</v>
      </c>
      <c r="G34" s="17">
        <f>+'06'!V34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+'06'!T35</f>
        <v>0</v>
      </c>
      <c r="F35" s="19">
        <f>+'06'!U35</f>
        <v>0</v>
      </c>
      <c r="G35" s="17">
        <f>+'06'!V35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+'06'!T36</f>
        <v>0</v>
      </c>
      <c r="F36" s="19">
        <f>+'06'!U36</f>
        <v>0</v>
      </c>
      <c r="G36" s="17">
        <f>+'06'!V36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+'06'!T37</f>
        <v>0</v>
      </c>
      <c r="F37" s="19">
        <f>+'06'!U37</f>
        <v>0</v>
      </c>
      <c r="G37" s="17">
        <f>+'06'!V37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60</v>
      </c>
      <c r="F38" s="5"/>
      <c r="G38" s="22">
        <f>+SUM(G20:G37)</f>
        <v>33.730000000000004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60</v>
      </c>
      <c r="L38" s="5"/>
      <c r="M38" s="22">
        <f t="shared" ref="M38:T38" si="41">+SUM(M20:M37)</f>
        <v>33.730000000000004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5</v>
      </c>
      <c r="S38" s="22">
        <f t="shared" si="41"/>
        <v>2.91</v>
      </c>
      <c r="T38" s="5">
        <f t="shared" si="41"/>
        <v>55</v>
      </c>
      <c r="U38" s="5"/>
      <c r="V38" s="22">
        <f t="shared" ref="V38" si="42">+SUM(V20:V37)</f>
        <v>30.82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161</v>
      </c>
      <c r="F39" s="5"/>
      <c r="G39" s="22">
        <f>+SUM(G7:G38)/2</f>
        <v>65.202500000000015</v>
      </c>
      <c r="H39" s="5">
        <f>+SUM(H7:H38)/2</f>
        <v>0</v>
      </c>
      <c r="I39" s="5"/>
      <c r="J39" s="22">
        <f>+SUM(J7:J38)/2</f>
        <v>0</v>
      </c>
      <c r="K39" s="5">
        <f>+SUM(K7:K38)/2</f>
        <v>161</v>
      </c>
      <c r="L39" s="5"/>
      <c r="M39" s="22">
        <f t="shared" ref="M39:T39" si="43">+SUM(M7:M38)/2</f>
        <v>65.202500000000015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14</v>
      </c>
      <c r="S39" s="22">
        <f t="shared" si="43"/>
        <v>5.7441666666666666</v>
      </c>
      <c r="T39" s="5">
        <f t="shared" si="43"/>
        <v>147</v>
      </c>
      <c r="U39" s="5"/>
      <c r="V39" s="22">
        <f>+SUM(V7:V38)/2</f>
        <v>59.458333333333343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57BF-9DF0-4572-9593-776EA30C0E43}">
  <sheetPr>
    <tabColor rgb="FF00B0F0"/>
  </sheetPr>
  <dimension ref="A2:AC47"/>
  <sheetViews>
    <sheetView view="pageBreakPreview" zoomScale="98" zoomScaleNormal="100" zoomScaleSheetLayoutView="98" workbookViewId="0">
      <pane xSplit="2" ySplit="7" topLeftCell="E8" activePane="bottomRight" state="frozen"/>
      <selection activeCell="K14" sqref="K14"/>
      <selection pane="topRight" activeCell="K14" sqref="K14"/>
      <selection pane="bottomLeft" activeCell="K14" sqref="K14"/>
      <selection pane="bottomRight" activeCell="AA16" sqref="AA16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5.6640625" style="1" customWidth="1"/>
    <col min="25" max="25" width="7.66406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+'07'!T4+1</f>
        <v>45846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+'07'!T8</f>
        <v>-7</v>
      </c>
      <c r="F8" s="19">
        <f>+'07'!U8</f>
        <v>0.36249999999999999</v>
      </c>
      <c r="G8" s="17">
        <f>+'07'!V8</f>
        <v>-2.5375000000000001</v>
      </c>
      <c r="H8" s="17"/>
      <c r="I8" s="18"/>
      <c r="J8" s="18">
        <f>+H8*I8</f>
        <v>0</v>
      </c>
      <c r="K8" s="16">
        <f t="shared" ref="K8:K14" si="0">+E8+H8</f>
        <v>-7</v>
      </c>
      <c r="L8" s="19">
        <f t="shared" ref="L8:L14" si="1">IF(K8=0,,M8/K8)</f>
        <v>0.36249999999999999</v>
      </c>
      <c r="M8" s="19">
        <f t="shared" ref="M8:M14" si="2">+J8+G8</f>
        <v>-2.5375000000000001</v>
      </c>
      <c r="N8" s="17"/>
      <c r="O8" s="18">
        <f>+N8*L8</f>
        <v>0</v>
      </c>
      <c r="P8" s="17"/>
      <c r="Q8" s="18">
        <f>+P8*L8</f>
        <v>0</v>
      </c>
      <c r="R8" s="17">
        <v>5</v>
      </c>
      <c r="S8" s="18">
        <f t="shared" ref="S8:S14" si="3">+R8*L8</f>
        <v>1.8125</v>
      </c>
      <c r="T8" s="17">
        <f t="shared" ref="T8:T14" si="4">+K8-N8-P8-R8</f>
        <v>-12</v>
      </c>
      <c r="U8" s="18">
        <f t="shared" ref="U8:U14" si="5">IF(T8=0,,V8/T8)</f>
        <v>0.36249999999999999</v>
      </c>
      <c r="V8" s="18">
        <f t="shared" ref="V8:V14" si="6">+T8*L8</f>
        <v>-4.3499999999999996</v>
      </c>
      <c r="W8" s="1" t="str">
        <f>+$B$8</f>
        <v>Cocacola Classic 330ml (24cans)</v>
      </c>
      <c r="Y8" s="2">
        <f>+$R$8</f>
        <v>5</v>
      </c>
      <c r="Z8" s="26">
        <f t="shared" ref="Z8:Z19" si="7">+Y8*1</f>
        <v>5</v>
      </c>
      <c r="AA8" s="35">
        <f>+Y8+'07'!AA8</f>
        <v>13</v>
      </c>
      <c r="AB8" s="30">
        <f>+Z8+'07'!AB8</f>
        <v>13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+'07'!T9</f>
        <v>18</v>
      </c>
      <c r="F9" s="19">
        <f>+'07'!U9</f>
        <v>0.36249999999999999</v>
      </c>
      <c r="G9" s="17">
        <f>+'07'!V9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+Y9+'07'!AA9</f>
        <v>0</v>
      </c>
      <c r="AB9" s="30">
        <f>+Z9+'07'!AB9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+'07'!T10</f>
        <v>10</v>
      </c>
      <c r="F10" s="19">
        <f>+'07'!U10</f>
        <v>0.36249999999999999</v>
      </c>
      <c r="G10" s="17">
        <f>+'07'!V10</f>
        <v>3.625</v>
      </c>
      <c r="H10" s="17"/>
      <c r="I10" s="18"/>
      <c r="J10" s="18">
        <f t="shared" ref="J10:J14" si="11">+H10*I10</f>
        <v>0</v>
      </c>
      <c r="K10" s="16">
        <f t="shared" si="0"/>
        <v>10</v>
      </c>
      <c r="L10" s="19">
        <f t="shared" si="1"/>
        <v>0.36249999999999999</v>
      </c>
      <c r="M10" s="19">
        <f t="shared" si="2"/>
        <v>3.625</v>
      </c>
      <c r="N10" s="17"/>
      <c r="O10" s="18">
        <f t="shared" si="9"/>
        <v>0</v>
      </c>
      <c r="P10" s="17"/>
      <c r="Q10" s="18">
        <f t="shared" si="10"/>
        <v>0</v>
      </c>
      <c r="R10" s="17">
        <v>2</v>
      </c>
      <c r="S10" s="18">
        <f t="shared" si="3"/>
        <v>0.72499999999999998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2</v>
      </c>
      <c r="Z10" s="26">
        <f t="shared" si="7"/>
        <v>2</v>
      </c>
      <c r="AA10" s="35">
        <f>+Y10+'07'!AA10</f>
        <v>3</v>
      </c>
      <c r="AB10" s="30">
        <f>+Z10+'07'!AB10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+'07'!T11</f>
        <v>0</v>
      </c>
      <c r="F11" s="19">
        <f>+'07'!U11</f>
        <v>0</v>
      </c>
      <c r="G11" s="17">
        <f>+'07'!V11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+Y11+'07'!AA11</f>
        <v>2</v>
      </c>
      <c r="AB11" s="30">
        <f>+Z11+'07'!AB11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+'07'!T12</f>
        <v>13</v>
      </c>
      <c r="F12" s="19">
        <f>+'07'!U12</f>
        <v>0.36249999999999993</v>
      </c>
      <c r="G12" s="17">
        <f>+'07'!V12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+Y12+'07'!AA12</f>
        <v>1</v>
      </c>
      <c r="AB12" s="30">
        <f>+Z12+'07'!AB12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+'07'!T13</f>
        <v>19</v>
      </c>
      <c r="F13" s="19">
        <f>+'07'!U13</f>
        <v>0.36249999999999999</v>
      </c>
      <c r="G13" s="17">
        <f>+'07'!V13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+Y13+'07'!AA13</f>
        <v>0</v>
      </c>
      <c r="AB13" s="30">
        <f>+Z13+'07'!AB13</f>
        <v>0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+'07'!T14</f>
        <v>17</v>
      </c>
      <c r="F14" s="19">
        <f>+'07'!U14</f>
        <v>0.36249999999999999</v>
      </c>
      <c r="G14" s="17">
        <f>+'07'!V14</f>
        <v>6.1624999999999996</v>
      </c>
      <c r="H14" s="17"/>
      <c r="I14" s="18"/>
      <c r="J14" s="18">
        <f t="shared" si="11"/>
        <v>0</v>
      </c>
      <c r="K14" s="16">
        <f t="shared" si="0"/>
        <v>17</v>
      </c>
      <c r="L14" s="19">
        <f t="shared" si="1"/>
        <v>0.36249999999999999</v>
      </c>
      <c r="M14" s="19">
        <f t="shared" si="2"/>
        <v>6.1624999999999996</v>
      </c>
      <c r="N14" s="17"/>
      <c r="O14" s="18">
        <f t="shared" si="9"/>
        <v>0</v>
      </c>
      <c r="P14" s="17"/>
      <c r="Q14" s="18">
        <f t="shared" si="10"/>
        <v>0</v>
      </c>
      <c r="R14" s="17">
        <v>1</v>
      </c>
      <c r="S14" s="18">
        <f t="shared" si="3"/>
        <v>0.36249999999999999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1</v>
      </c>
      <c r="Z14" s="26">
        <f t="shared" si="7"/>
        <v>1</v>
      </c>
      <c r="AA14" s="35">
        <f>+Y14+'07'!AA14</f>
        <v>4</v>
      </c>
      <c r="AB14" s="30">
        <f>+Z14+'07'!AB14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70</v>
      </c>
      <c r="F15" s="5"/>
      <c r="G15" s="22">
        <f>+SUM(G8:G14)</f>
        <v>25.375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70</v>
      </c>
      <c r="L15" s="5"/>
      <c r="M15" s="22">
        <f t="shared" ref="M15:T15" si="13">+SUM(M8:M14)</f>
        <v>25.375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69">
        <f t="shared" si="13"/>
        <v>8</v>
      </c>
      <c r="S15" s="22">
        <f t="shared" si="13"/>
        <v>2.9</v>
      </c>
      <c r="T15" s="5">
        <f t="shared" si="13"/>
        <v>62</v>
      </c>
      <c r="U15" s="5"/>
      <c r="V15" s="22">
        <f t="shared" ref="V15" si="14">+SUM(V8:V14)</f>
        <v>22.474999999999998</v>
      </c>
      <c r="W15" s="1" t="str">
        <f>+$B$17</f>
        <v>Dasani 500ml (24 Btl)</v>
      </c>
      <c r="Y15" s="2">
        <f>+$R$17</f>
        <v>4</v>
      </c>
      <c r="Z15" s="26">
        <f>+Y15*0.5</f>
        <v>2</v>
      </c>
      <c r="AA15" s="35">
        <f>+Y15+'07'!AA15</f>
        <v>16</v>
      </c>
      <c r="AB15" s="30">
        <f>+Z15+'07'!AB15</f>
        <v>8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9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2</v>
      </c>
      <c r="Z16" s="26">
        <f>+Y16*1.25</f>
        <v>2.5</v>
      </c>
      <c r="AA16" s="35">
        <f>+Y16+'07'!AA16</f>
        <v>5</v>
      </c>
      <c r="AB16" s="30">
        <f>+Z16+'07'!AB16</f>
        <v>6.25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+'07'!T17</f>
        <v>22</v>
      </c>
      <c r="F17" s="19">
        <f>+'07'!U17</f>
        <v>0.14833333333333334</v>
      </c>
      <c r="G17" s="19">
        <f>+'07'!V17</f>
        <v>3.2633333333333336</v>
      </c>
      <c r="H17" s="17"/>
      <c r="I17" s="18"/>
      <c r="J17" s="18">
        <f t="shared" ref="J17" si="15">+H17*I17</f>
        <v>0</v>
      </c>
      <c r="K17" s="16">
        <f>+E17+H17</f>
        <v>22</v>
      </c>
      <c r="L17" s="19">
        <f t="shared" ref="L17" si="16">IF(K17=0,,M17/K17)</f>
        <v>0.14833333333333334</v>
      </c>
      <c r="M17" s="19">
        <f>+J17+G17</f>
        <v>3.2633333333333336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4</v>
      </c>
      <c r="S17" s="18">
        <f t="shared" ref="S17" si="19">+R17*L17</f>
        <v>0.59333333333333338</v>
      </c>
      <c r="T17" s="17">
        <f t="shared" ref="T17" si="20">+K17-N17-P17-R17</f>
        <v>18</v>
      </c>
      <c r="U17" s="18">
        <f t="shared" ref="U17" si="21">IF(T17=0,,V17/T17)</f>
        <v>0.14833333333333334</v>
      </c>
      <c r="V17" s="18">
        <f t="shared" ref="V17" si="22">+T17*L17</f>
        <v>2.6700000000000004</v>
      </c>
      <c r="W17" s="1" t="str">
        <f>+$B$21</f>
        <v>Heineken 330ml CAN</v>
      </c>
      <c r="Y17" s="34">
        <f>+$R$21</f>
        <v>3</v>
      </c>
      <c r="Z17" s="26">
        <f>+Y17*1.25</f>
        <v>3.75</v>
      </c>
      <c r="AA17" s="35">
        <f>+Y17+'07'!AA17</f>
        <v>6</v>
      </c>
      <c r="AB17" s="30">
        <f>+Z17+'07'!AB17</f>
        <v>7.5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22</v>
      </c>
      <c r="F18" s="5"/>
      <c r="G18" s="22">
        <f>+G17</f>
        <v>3.2633333333333336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22</v>
      </c>
      <c r="L18" s="5"/>
      <c r="M18" s="22">
        <f t="shared" ref="M18:T18" si="25">+M17</f>
        <v>3.2633333333333336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4</v>
      </c>
      <c r="S18" s="22">
        <f t="shared" si="25"/>
        <v>0.59333333333333338</v>
      </c>
      <c r="T18" s="5">
        <f t="shared" si="25"/>
        <v>18</v>
      </c>
      <c r="U18" s="5"/>
      <c r="V18" s="22">
        <f t="shared" ref="V18" si="26">+V17</f>
        <v>2.6700000000000004</v>
      </c>
      <c r="Y18" s="34">
        <f>+$R$22</f>
        <v>0</v>
      </c>
      <c r="Z18" s="26">
        <f t="shared" si="7"/>
        <v>0</v>
      </c>
      <c r="AA18" s="35">
        <f>+Y18+'07'!AA18</f>
        <v>0</v>
      </c>
      <c r="AB18" s="30">
        <f>+Z18+'07'!AB18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+Y19+'07'!AA19</f>
        <v>0</v>
      </c>
      <c r="AB19" s="30">
        <f>+Z19+'07'!AB19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+'07'!T20</f>
        <v>29</v>
      </c>
      <c r="F20" s="19">
        <f>+'07'!U20</f>
        <v>0.48</v>
      </c>
      <c r="G20" s="17">
        <f>+'07'!V20</f>
        <v>13.92</v>
      </c>
      <c r="H20" s="17"/>
      <c r="I20" s="18"/>
      <c r="J20" s="18">
        <f t="shared" ref="J20:J37" si="28">+H20*I20</f>
        <v>0</v>
      </c>
      <c r="K20" s="16">
        <f t="shared" ref="K20:K37" si="29">+E20+H20</f>
        <v>29</v>
      </c>
      <c r="L20" s="19">
        <f t="shared" ref="L20:L37" si="30">IF(K20=0,,M20/K20)</f>
        <v>0.48</v>
      </c>
      <c r="M20" s="19">
        <f t="shared" ref="M20:M37" si="31">+J20+G20</f>
        <v>13.92</v>
      </c>
      <c r="N20" s="17"/>
      <c r="O20" s="18">
        <f t="shared" ref="O20:O37" si="32">+N20*L20</f>
        <v>0</v>
      </c>
      <c r="P20" s="17"/>
      <c r="Q20" s="18">
        <f>+P20*L20</f>
        <v>0</v>
      </c>
      <c r="R20" s="17">
        <v>2</v>
      </c>
      <c r="S20" s="18">
        <f t="shared" ref="S20:S37" si="33">+R20*L20</f>
        <v>0.96</v>
      </c>
      <c r="T20" s="17">
        <f t="shared" ref="T20:T37" si="34">+K20-N20-P20-R20</f>
        <v>27</v>
      </c>
      <c r="U20" s="18">
        <f t="shared" ref="U20:U37" si="35">IF(T20=0,,V20/T20)</f>
        <v>0.48</v>
      </c>
      <c r="V20" s="18">
        <f t="shared" ref="V20:V37" si="36">+T20*L20</f>
        <v>12.959999999999999</v>
      </c>
      <c r="W20" s="70" t="s">
        <v>43</v>
      </c>
      <c r="X20" s="70"/>
      <c r="Y20" s="28">
        <f>+SUM(Y8:Y19)</f>
        <v>17</v>
      </c>
      <c r="Z20" s="31">
        <f>+SUM(Z8:Z19)</f>
        <v>16.25</v>
      </c>
      <c r="AA20" s="28">
        <f>+SUM(AA8:AA19)</f>
        <v>50</v>
      </c>
      <c r="AB20" s="31">
        <f>+SUM(AB8:AB19)</f>
        <v>44.75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+'07'!T21</f>
        <v>26</v>
      </c>
      <c r="F21" s="19">
        <f>+'07'!U21</f>
        <v>0.65000000000000013</v>
      </c>
      <c r="G21" s="17">
        <f>+'07'!V21</f>
        <v>16.900000000000002</v>
      </c>
      <c r="H21" s="17"/>
      <c r="I21" s="18"/>
      <c r="J21" s="18">
        <f t="shared" si="28"/>
        <v>0</v>
      </c>
      <c r="K21" s="16">
        <f t="shared" si="29"/>
        <v>26</v>
      </c>
      <c r="L21" s="19">
        <f t="shared" si="30"/>
        <v>0.65000000000000013</v>
      </c>
      <c r="M21" s="19">
        <f t="shared" si="31"/>
        <v>16.900000000000002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>
        <v>3</v>
      </c>
      <c r="S21" s="18">
        <f t="shared" si="33"/>
        <v>1.9500000000000004</v>
      </c>
      <c r="T21" s="17">
        <f t="shared" si="34"/>
        <v>23</v>
      </c>
      <c r="U21" s="18">
        <f t="shared" si="35"/>
        <v>0.65000000000000013</v>
      </c>
      <c r="V21" s="18">
        <f t="shared" si="36"/>
        <v>14.950000000000003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+'07'!T22</f>
        <v>0</v>
      </c>
      <c r="F22" s="19">
        <f>+'07'!U22</f>
        <v>0</v>
      </c>
      <c r="G22" s="17">
        <f>+'07'!V22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+'07'!T23</f>
        <v>0</v>
      </c>
      <c r="F23" s="19">
        <f>+'07'!U23</f>
        <v>0</v>
      </c>
      <c r="G23" s="17">
        <f>+'07'!V23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+'07'!T24</f>
        <v>0</v>
      </c>
      <c r="F24" s="19">
        <f>+'07'!U24</f>
        <v>0</v>
      </c>
      <c r="G24" s="17">
        <f>+'07'!V24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+'07'!T25</f>
        <v>0</v>
      </c>
      <c r="F25" s="19">
        <f>+'07'!U25</f>
        <v>0</v>
      </c>
      <c r="G25" s="17">
        <f>+'07'!V25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+'07'!T26</f>
        <v>0</v>
      </c>
      <c r="F26" s="19">
        <f>+'07'!U26</f>
        <v>0</v>
      </c>
      <c r="G26" s="17">
        <f>+'07'!V26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+'07'!T27</f>
        <v>0</v>
      </c>
      <c r="F27" s="19">
        <f>+'07'!U27</f>
        <v>0</v>
      </c>
      <c r="G27" s="17">
        <f>+'07'!V27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+'07'!T28</f>
        <v>0</v>
      </c>
      <c r="F28" s="19">
        <f>+'07'!U28</f>
        <v>0</v>
      </c>
      <c r="G28" s="17">
        <f>+'07'!V28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+'07'!T29</f>
        <v>0</v>
      </c>
      <c r="F29" s="19">
        <f>+'07'!U29</f>
        <v>0</v>
      </c>
      <c r="G29" s="17">
        <f>+'07'!V29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+'07'!T30</f>
        <v>0</v>
      </c>
      <c r="F30" s="19">
        <f>+'07'!U30</f>
        <v>0</v>
      </c>
      <c r="G30" s="17">
        <f>+'07'!V30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+'07'!T31</f>
        <v>0</v>
      </c>
      <c r="F31" s="19">
        <f>+'07'!U31</f>
        <v>0</v>
      </c>
      <c r="G31" s="17">
        <f>+'07'!V31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+'07'!T32</f>
        <v>0</v>
      </c>
      <c r="F32" s="19">
        <f>+'07'!U32</f>
        <v>0</v>
      </c>
      <c r="G32" s="17">
        <f>+'07'!V32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+'07'!T33</f>
        <v>0</v>
      </c>
      <c r="F33" s="19">
        <f>+'07'!U33</f>
        <v>0</v>
      </c>
      <c r="G33" s="17">
        <f>+'07'!V33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+'07'!T34</f>
        <v>0</v>
      </c>
      <c r="F34" s="19">
        <f>+'07'!U34</f>
        <v>0</v>
      </c>
      <c r="G34" s="17">
        <f>+'07'!V34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+'07'!T35</f>
        <v>0</v>
      </c>
      <c r="F35" s="19">
        <f>+'07'!U35</f>
        <v>0</v>
      </c>
      <c r="G35" s="17">
        <f>+'07'!V35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+'07'!T36</f>
        <v>0</v>
      </c>
      <c r="F36" s="19">
        <f>+'07'!U36</f>
        <v>0</v>
      </c>
      <c r="G36" s="17">
        <f>+'07'!V36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+'07'!T37</f>
        <v>0</v>
      </c>
      <c r="F37" s="19">
        <f>+'07'!U37</f>
        <v>0</v>
      </c>
      <c r="G37" s="17">
        <f>+'07'!V37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55</v>
      </c>
      <c r="F38" s="5"/>
      <c r="G38" s="22">
        <f>+SUM(G20:G37)</f>
        <v>30.82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55</v>
      </c>
      <c r="L38" s="5"/>
      <c r="M38" s="22">
        <f t="shared" ref="M38:T38" si="41">+SUM(M20:M37)</f>
        <v>30.82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5</v>
      </c>
      <c r="S38" s="22">
        <f t="shared" si="41"/>
        <v>2.91</v>
      </c>
      <c r="T38" s="5">
        <f t="shared" si="41"/>
        <v>50</v>
      </c>
      <c r="U38" s="5"/>
      <c r="V38" s="22">
        <f t="shared" ref="V38" si="42">+SUM(V20:V37)</f>
        <v>27.910000000000004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147</v>
      </c>
      <c r="F39" s="5"/>
      <c r="G39" s="22">
        <f>+SUM(G7:G38)/2</f>
        <v>59.458333333333343</v>
      </c>
      <c r="H39" s="5">
        <f>+SUM(H7:H38)/2</f>
        <v>0</v>
      </c>
      <c r="I39" s="5"/>
      <c r="J39" s="22">
        <f>+SUM(J7:J38)/2</f>
        <v>0</v>
      </c>
      <c r="K39" s="5">
        <f>+SUM(K7:K38)/2</f>
        <v>147</v>
      </c>
      <c r="L39" s="5"/>
      <c r="M39" s="22">
        <f t="shared" ref="M39:T39" si="43">+SUM(M7:M38)/2</f>
        <v>59.458333333333343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17</v>
      </c>
      <c r="S39" s="22">
        <f t="shared" si="43"/>
        <v>6.4033333333333342</v>
      </c>
      <c r="T39" s="5">
        <f t="shared" si="43"/>
        <v>130</v>
      </c>
      <c r="U39" s="5"/>
      <c r="V39" s="22">
        <f>+SUM(V7:V38)/2</f>
        <v>53.055000000000007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C6EE-C169-46FA-BA8B-F157AC4D7384}">
  <dimension ref="A2:AC47"/>
  <sheetViews>
    <sheetView view="pageBreakPreview" zoomScale="80" zoomScaleNormal="100" zoomScaleSheetLayoutView="80" workbookViewId="0">
      <pane xSplit="2" ySplit="7" topLeftCell="I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28.44140625" style="1" customWidth="1"/>
    <col min="25" max="25" width="7.88671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+'08'!T4+1</f>
        <v>45847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  <c r="AC6" s="25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  <c r="AC7" s="25"/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+'08'!T8</f>
        <v>-12</v>
      </c>
      <c r="F8" s="19">
        <f>+'08'!U8</f>
        <v>0.36249999999999999</v>
      </c>
      <c r="G8" s="17">
        <f>+'08'!V8</f>
        <v>-4.3499999999999996</v>
      </c>
      <c r="H8" s="17"/>
      <c r="I8" s="18"/>
      <c r="J8" s="18">
        <f>+H8*I8</f>
        <v>0</v>
      </c>
      <c r="K8" s="16">
        <f t="shared" ref="K8:K14" si="0">+E8+H8</f>
        <v>-12</v>
      </c>
      <c r="L8" s="19">
        <f t="shared" ref="L8:L14" si="1">IF(K8=0,,M8/K8)</f>
        <v>0.36249999999999999</v>
      </c>
      <c r="M8" s="19">
        <f t="shared" ref="M8:M14" si="2">+J8+G8</f>
        <v>-4.3499999999999996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-12</v>
      </c>
      <c r="U8" s="18">
        <f t="shared" ref="U8:U14" si="5">IF(T8=0,,V8/T8)</f>
        <v>0.36249999999999999</v>
      </c>
      <c r="V8" s="18">
        <f t="shared" ref="V8:V14" si="6">+T8*L8</f>
        <v>-4.3499999999999996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+Y8+'08'!AA8</f>
        <v>13</v>
      </c>
      <c r="AB8" s="30">
        <f>+Z8+'08'!AB8</f>
        <v>13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+'08'!T9</f>
        <v>18</v>
      </c>
      <c r="F9" s="19">
        <f>+'08'!U9</f>
        <v>0.36249999999999999</v>
      </c>
      <c r="G9" s="17">
        <f>+'08'!V9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+Y9+'08'!AA9</f>
        <v>0</v>
      </c>
      <c r="AB9" s="30">
        <f>+Z9+'08'!AB9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+'08'!T10</f>
        <v>8</v>
      </c>
      <c r="F10" s="19">
        <f>+'08'!U10</f>
        <v>0.36249999999999999</v>
      </c>
      <c r="G10" s="17">
        <f>+'08'!V10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+Y10+'08'!AA10</f>
        <v>3</v>
      </c>
      <c r="AB10" s="30">
        <f>+Z10+'08'!AB10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+'08'!T11</f>
        <v>0</v>
      </c>
      <c r="F11" s="19">
        <f>+'08'!U11</f>
        <v>0</v>
      </c>
      <c r="G11" s="17">
        <f>+'08'!V11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+Y11+'08'!AA11</f>
        <v>2</v>
      </c>
      <c r="AB11" s="30">
        <f>+Z11+'08'!AB11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+'08'!T12</f>
        <v>13</v>
      </c>
      <c r="F12" s="19">
        <f>+'08'!U12</f>
        <v>0.36249999999999993</v>
      </c>
      <c r="G12" s="17">
        <f>+'08'!V12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+Y12+'08'!AA12</f>
        <v>1</v>
      </c>
      <c r="AB12" s="30">
        <f>+Z12+'08'!AB12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+'08'!T13</f>
        <v>19</v>
      </c>
      <c r="F13" s="19">
        <f>+'08'!U13</f>
        <v>0.36249999999999999</v>
      </c>
      <c r="G13" s="17">
        <f>+'08'!V13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19</v>
      </c>
      <c r="U13" s="18">
        <f t="shared" si="5"/>
        <v>0.36249999999999999</v>
      </c>
      <c r="V13" s="18">
        <f t="shared" si="6"/>
        <v>6.8875000000000002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+Y13+'08'!AA13</f>
        <v>0</v>
      </c>
      <c r="AB13" s="30">
        <f>+Z13+'08'!AB13</f>
        <v>0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+'08'!T14</f>
        <v>16</v>
      </c>
      <c r="F14" s="19">
        <f>+'08'!U14</f>
        <v>0.36249999999999999</v>
      </c>
      <c r="G14" s="17">
        <f>+'08'!V14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+Y14+'08'!AA14</f>
        <v>4</v>
      </c>
      <c r="AB14" s="30">
        <f>+Z14+'08'!AB14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62</v>
      </c>
      <c r="F15" s="5"/>
      <c r="G15" s="22">
        <f>+SUM(G8:G14)</f>
        <v>22.474999999999998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62</v>
      </c>
      <c r="L15" s="5"/>
      <c r="M15" s="22">
        <f t="shared" ref="M15:T15" si="13">+SUM(M8:M14)</f>
        <v>22.474999999999998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62</v>
      </c>
      <c r="U15" s="5"/>
      <c r="V15" s="22">
        <f t="shared" ref="V15" si="14">+SUM(V8:V14)</f>
        <v>22.474999999999998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+Y15+'08'!AA15</f>
        <v>16</v>
      </c>
      <c r="AB15" s="30">
        <f>+Z15+'08'!AB15</f>
        <v>8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+Y16+'08'!AA16</f>
        <v>5</v>
      </c>
      <c r="AB16" s="30">
        <f>+Z16+'08'!AB16</f>
        <v>6.25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+'08'!T17</f>
        <v>18</v>
      </c>
      <c r="F17" s="19">
        <f>+'08'!U17</f>
        <v>0.14833333333333334</v>
      </c>
      <c r="G17" s="19">
        <f>+'08'!V17</f>
        <v>2.6700000000000004</v>
      </c>
      <c r="H17" s="17"/>
      <c r="I17" s="18"/>
      <c r="J17" s="18">
        <f t="shared" ref="J17" si="15">+H17*I17</f>
        <v>0</v>
      </c>
      <c r="K17" s="16">
        <f>+E17+H17</f>
        <v>18</v>
      </c>
      <c r="L17" s="19">
        <f t="shared" ref="L17" si="16">IF(K17=0,,M17/K17)</f>
        <v>0.14833333333333334</v>
      </c>
      <c r="M17" s="19">
        <f>+J17+G17</f>
        <v>2.6700000000000004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18</v>
      </c>
      <c r="U17" s="18">
        <f t="shared" ref="U17" si="21">IF(T17=0,,V17/T17)</f>
        <v>0.14833333333333334</v>
      </c>
      <c r="V17" s="18">
        <f t="shared" ref="V17" si="22">+T17*L17</f>
        <v>2.6700000000000004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+Y17+'08'!AA17</f>
        <v>6</v>
      </c>
      <c r="AB17" s="30">
        <f>+Z17+'08'!AB17</f>
        <v>7.5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18</v>
      </c>
      <c r="F18" s="5"/>
      <c r="G18" s="22">
        <f>+G17</f>
        <v>2.6700000000000004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18</v>
      </c>
      <c r="L18" s="5"/>
      <c r="M18" s="22">
        <f t="shared" ref="M18:T18" si="25">+M17</f>
        <v>2.6700000000000004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18</v>
      </c>
      <c r="U18" s="5"/>
      <c r="V18" s="22">
        <f t="shared" ref="V18" si="26">+V17</f>
        <v>2.6700000000000004</v>
      </c>
      <c r="Y18" s="34">
        <f>+$R$22</f>
        <v>0</v>
      </c>
      <c r="Z18" s="26">
        <f t="shared" si="7"/>
        <v>0</v>
      </c>
      <c r="AA18" s="35">
        <f>+Y18+'08'!AA18</f>
        <v>0</v>
      </c>
      <c r="AB18" s="30">
        <f>+Z18+'08'!AB18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+Y19+'08'!AA19</f>
        <v>0</v>
      </c>
      <c r="AB19" s="30">
        <f>+Z19+'08'!AB19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+'08'!T20</f>
        <v>27</v>
      </c>
      <c r="F20" s="19">
        <f>+'08'!U20</f>
        <v>0.48</v>
      </c>
      <c r="G20" s="17">
        <f>+'08'!V20</f>
        <v>12.959999999999999</v>
      </c>
      <c r="H20" s="17"/>
      <c r="I20" s="18"/>
      <c r="J20" s="18">
        <f t="shared" ref="J20:J37" si="28">+H20*I20</f>
        <v>0</v>
      </c>
      <c r="K20" s="16">
        <f t="shared" ref="K20:K37" si="29">+E20+H20</f>
        <v>27</v>
      </c>
      <c r="L20" s="19">
        <f t="shared" ref="L20:L37" si="30">IF(K20=0,,M20/K20)</f>
        <v>0.48</v>
      </c>
      <c r="M20" s="19">
        <f t="shared" ref="M20:M37" si="31">+J20+G20</f>
        <v>12.959999999999999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27</v>
      </c>
      <c r="U20" s="18">
        <f t="shared" ref="U20:U37" si="35">IF(T20=0,,V20/T20)</f>
        <v>0.48</v>
      </c>
      <c r="V20" s="18">
        <f t="shared" ref="V20:V37" si="36">+T20*L20</f>
        <v>12.959999999999999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50</v>
      </c>
      <c r="AB20" s="31">
        <f>+SUM(AB8:AB19)</f>
        <v>44.75</v>
      </c>
      <c r="AC20" s="32"/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+'08'!T21</f>
        <v>23</v>
      </c>
      <c r="F21" s="19">
        <f>+'08'!U21</f>
        <v>0.65000000000000013</v>
      </c>
      <c r="G21" s="17">
        <f>+'08'!V21</f>
        <v>14.950000000000003</v>
      </c>
      <c r="H21" s="17"/>
      <c r="I21" s="18"/>
      <c r="J21" s="18">
        <f t="shared" si="28"/>
        <v>0</v>
      </c>
      <c r="K21" s="16">
        <f t="shared" si="29"/>
        <v>23</v>
      </c>
      <c r="L21" s="19">
        <f t="shared" si="30"/>
        <v>0.65000000000000013</v>
      </c>
      <c r="M21" s="19">
        <f t="shared" si="31"/>
        <v>14.950000000000003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23</v>
      </c>
      <c r="U21" s="18">
        <f t="shared" si="35"/>
        <v>0.65000000000000013</v>
      </c>
      <c r="V21" s="18">
        <f t="shared" si="36"/>
        <v>14.950000000000003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+'08'!T22</f>
        <v>0</v>
      </c>
      <c r="F22" s="19">
        <f>+'08'!U22</f>
        <v>0</v>
      </c>
      <c r="G22" s="17">
        <f>+'08'!V22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+'08'!T23</f>
        <v>0</v>
      </c>
      <c r="F23" s="19">
        <f>+'08'!U23</f>
        <v>0</v>
      </c>
      <c r="G23" s="17">
        <f>+'08'!V23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+'08'!T24</f>
        <v>0</v>
      </c>
      <c r="F24" s="19">
        <f>+'08'!U24</f>
        <v>0</v>
      </c>
      <c r="G24" s="17">
        <f>+'08'!V24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+'08'!T25</f>
        <v>0</v>
      </c>
      <c r="F25" s="19">
        <f>+'08'!U25</f>
        <v>0</v>
      </c>
      <c r="G25" s="17">
        <f>+'08'!V25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+'08'!T26</f>
        <v>0</v>
      </c>
      <c r="F26" s="19">
        <f>+'08'!U26</f>
        <v>0</v>
      </c>
      <c r="G26" s="17">
        <f>+'08'!V26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+'08'!T27</f>
        <v>0</v>
      </c>
      <c r="F27" s="19">
        <f>+'08'!U27</f>
        <v>0</v>
      </c>
      <c r="G27" s="17">
        <f>+'08'!V27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+'08'!T28</f>
        <v>0</v>
      </c>
      <c r="F28" s="19">
        <f>+'08'!U28</f>
        <v>0</v>
      </c>
      <c r="G28" s="17">
        <f>+'08'!V28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+'08'!T29</f>
        <v>0</v>
      </c>
      <c r="F29" s="19">
        <f>+'08'!U29</f>
        <v>0</v>
      </c>
      <c r="G29" s="17">
        <f>+'08'!V29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+'08'!T30</f>
        <v>0</v>
      </c>
      <c r="F30" s="19">
        <f>+'08'!U30</f>
        <v>0</v>
      </c>
      <c r="G30" s="17">
        <f>+'08'!V30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+'08'!T31</f>
        <v>0</v>
      </c>
      <c r="F31" s="19">
        <f>+'08'!U31</f>
        <v>0</v>
      </c>
      <c r="G31" s="17">
        <f>+'08'!V31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+'08'!T32</f>
        <v>0</v>
      </c>
      <c r="F32" s="19">
        <f>+'08'!U32</f>
        <v>0</v>
      </c>
      <c r="G32" s="17">
        <f>+'08'!V32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+'08'!T33</f>
        <v>0</v>
      </c>
      <c r="F33" s="19">
        <f>+'08'!U33</f>
        <v>0</v>
      </c>
      <c r="G33" s="17">
        <f>+'08'!V33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+'08'!T34</f>
        <v>0</v>
      </c>
      <c r="F34" s="19">
        <f>+'08'!U34</f>
        <v>0</v>
      </c>
      <c r="G34" s="17">
        <f>+'08'!V34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+'08'!T35</f>
        <v>0</v>
      </c>
      <c r="F35" s="19">
        <f>+'08'!U35</f>
        <v>0</v>
      </c>
      <c r="G35" s="17">
        <f>+'08'!V35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+'08'!T36</f>
        <v>0</v>
      </c>
      <c r="F36" s="19">
        <f>+'08'!U36</f>
        <v>0</v>
      </c>
      <c r="G36" s="17">
        <f>+'08'!V36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+'08'!T37</f>
        <v>0</v>
      </c>
      <c r="F37" s="19">
        <f>+'08'!U37</f>
        <v>0</v>
      </c>
      <c r="G37" s="17">
        <f>+'08'!V37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50</v>
      </c>
      <c r="F38" s="5"/>
      <c r="G38" s="22">
        <f>+SUM(G20:G37)</f>
        <v>27.910000000000004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50</v>
      </c>
      <c r="L38" s="5"/>
      <c r="M38" s="22">
        <f t="shared" ref="M38:T38" si="41">+SUM(M20:M37)</f>
        <v>27.910000000000004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50</v>
      </c>
      <c r="U38" s="5"/>
      <c r="V38" s="22">
        <f t="shared" ref="V38" si="42">+SUM(V20:V37)</f>
        <v>27.910000000000004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130</v>
      </c>
      <c r="F39" s="5"/>
      <c r="G39" s="22">
        <f>+SUM(G7:G38)/2</f>
        <v>53.055000000000007</v>
      </c>
      <c r="H39" s="5">
        <f>+SUM(H7:H38)/2</f>
        <v>0</v>
      </c>
      <c r="I39" s="5"/>
      <c r="J39" s="22">
        <f>+SUM(J7:J38)/2</f>
        <v>0</v>
      </c>
      <c r="K39" s="5">
        <f>+SUM(K7:K38)/2</f>
        <v>130</v>
      </c>
      <c r="L39" s="5"/>
      <c r="M39" s="22">
        <f t="shared" ref="M39:T39" si="43">+SUM(M7:M38)/2</f>
        <v>53.055000000000007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130</v>
      </c>
      <c r="U39" s="5"/>
      <c r="V39" s="22">
        <f>+SUM(V7:V38)/2</f>
        <v>53.055000000000007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A12F-E04A-48E4-A51C-1A04C382BF05}">
  <sheetPr>
    <tabColor rgb="FF00B0F0"/>
  </sheetPr>
  <dimension ref="A2:AC47"/>
  <sheetViews>
    <sheetView view="pageBreakPreview" zoomScale="111" zoomScaleNormal="100" zoomScaleSheetLayoutView="80" workbookViewId="0">
      <pane xSplit="2" ySplit="7" topLeftCell="J8" activePane="bottomRight" state="frozen"/>
      <selection activeCell="K14" sqref="K14"/>
      <selection pane="topRight" activeCell="K14" sqref="K14"/>
      <selection pane="bottomLeft" activeCell="K14" sqref="K14"/>
      <selection pane="bottomRight" activeCell="R11" sqref="R11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27" style="1" customWidth="1"/>
    <col min="25" max="25" width="7.66406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+'09'!T4+1</f>
        <v>45848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+'09'!T8</f>
        <v>-12</v>
      </c>
      <c r="F8" s="19">
        <f>+'09'!U8</f>
        <v>0.36249999999999999</v>
      </c>
      <c r="G8" s="17">
        <f>+'09'!V8</f>
        <v>-4.3499999999999996</v>
      </c>
      <c r="H8" s="17"/>
      <c r="I8" s="18"/>
      <c r="J8" s="18">
        <f>+H8*I8</f>
        <v>0</v>
      </c>
      <c r="K8" s="16">
        <f t="shared" ref="K8:K14" si="0">+E8+H8</f>
        <v>-12</v>
      </c>
      <c r="L8" s="19">
        <f t="shared" ref="L8:L14" si="1">IF(K8=0,,M8/K8)</f>
        <v>0.36249999999999999</v>
      </c>
      <c r="M8" s="19">
        <f t="shared" ref="M8:M14" si="2">+J8+G8</f>
        <v>-4.3499999999999996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-12</v>
      </c>
      <c r="U8" s="18">
        <f t="shared" ref="U8:U14" si="5">IF(T8=0,,V8/T8)</f>
        <v>0.36249999999999999</v>
      </c>
      <c r="V8" s="18">
        <f t="shared" ref="V8:V14" si="6">+T8*L8</f>
        <v>-4.3499999999999996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+Y8+'09'!AA8</f>
        <v>13</v>
      </c>
      <c r="AB8" s="30">
        <f>+Z8+'09'!AB8</f>
        <v>13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+'09'!T9</f>
        <v>18</v>
      </c>
      <c r="F9" s="19">
        <f>+'09'!U9</f>
        <v>0.36249999999999999</v>
      </c>
      <c r="G9" s="17">
        <f>+'09'!V9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+Y9+'09'!AA9</f>
        <v>0</v>
      </c>
      <c r="AB9" s="30">
        <f>+Z9+'09'!AB9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+'09'!T10</f>
        <v>8</v>
      </c>
      <c r="F10" s="19">
        <f>+'09'!U10</f>
        <v>0.36249999999999999</v>
      </c>
      <c r="G10" s="17">
        <f>+'09'!V10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+Y10+'09'!AA10</f>
        <v>3</v>
      </c>
      <c r="AB10" s="30">
        <f>+Z10+'09'!AB10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+'09'!T11</f>
        <v>0</v>
      </c>
      <c r="F11" s="19">
        <f>+'09'!U11</f>
        <v>0</v>
      </c>
      <c r="G11" s="17">
        <f>+'09'!V11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+Y11+'09'!AA11</f>
        <v>2</v>
      </c>
      <c r="AB11" s="30">
        <f>+Z11+'09'!AB11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+'09'!T12</f>
        <v>13</v>
      </c>
      <c r="F12" s="19">
        <f>+'09'!U12</f>
        <v>0.36249999999999993</v>
      </c>
      <c r="G12" s="17">
        <f>+'09'!V12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+Y12+'09'!AA12</f>
        <v>1</v>
      </c>
      <c r="AB12" s="30">
        <f>+Z12+'09'!AB12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+'09'!T13</f>
        <v>19</v>
      </c>
      <c r="F13" s="19">
        <f>+'09'!U13</f>
        <v>0.36249999999999999</v>
      </c>
      <c r="G13" s="17">
        <f>+'09'!V13</f>
        <v>6.8875000000000002</v>
      </c>
      <c r="H13" s="17"/>
      <c r="I13" s="18"/>
      <c r="J13" s="18">
        <f t="shared" si="11"/>
        <v>0</v>
      </c>
      <c r="K13" s="16">
        <f t="shared" si="0"/>
        <v>19</v>
      </c>
      <c r="L13" s="19">
        <f t="shared" si="1"/>
        <v>0.36249999999999999</v>
      </c>
      <c r="M13" s="19">
        <f t="shared" si="2"/>
        <v>6.8875000000000002</v>
      </c>
      <c r="N13" s="17"/>
      <c r="O13" s="18">
        <f t="shared" si="9"/>
        <v>0</v>
      </c>
      <c r="P13" s="17"/>
      <c r="Q13" s="18">
        <f t="shared" si="10"/>
        <v>0</v>
      </c>
      <c r="R13" s="17">
        <v>1</v>
      </c>
      <c r="S13" s="18">
        <f t="shared" si="3"/>
        <v>0.36249999999999999</v>
      </c>
      <c r="T13" s="17">
        <f t="shared" si="4"/>
        <v>18</v>
      </c>
      <c r="U13" s="18">
        <f t="shared" si="5"/>
        <v>0.36249999999999999</v>
      </c>
      <c r="V13" s="18">
        <f t="shared" si="6"/>
        <v>6.5249999999999995</v>
      </c>
      <c r="W13" s="1" t="str">
        <f>+$B$13</f>
        <v>Schweppes Tonic Water 330ml (24cans)</v>
      </c>
      <c r="Y13" s="2">
        <f>+$R$13</f>
        <v>1</v>
      </c>
      <c r="Z13" s="26">
        <f t="shared" si="7"/>
        <v>1</v>
      </c>
      <c r="AA13" s="35">
        <f>+Y13+'09'!AA13</f>
        <v>1</v>
      </c>
      <c r="AB13" s="30">
        <f>+Z13+'09'!AB13</f>
        <v>1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+'09'!T14</f>
        <v>16</v>
      </c>
      <c r="F14" s="19">
        <f>+'09'!U14</f>
        <v>0.36249999999999999</v>
      </c>
      <c r="G14" s="17">
        <f>+'09'!V14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+Y14+'09'!AA14</f>
        <v>4</v>
      </c>
      <c r="AB14" s="30">
        <f>+Z14+'09'!AB14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62</v>
      </c>
      <c r="F15" s="5"/>
      <c r="G15" s="22">
        <f>+SUM(G8:G14)</f>
        <v>22.474999999999998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62</v>
      </c>
      <c r="L15" s="5"/>
      <c r="M15" s="22">
        <f t="shared" ref="M15:T15" si="13">+SUM(M8:M14)</f>
        <v>22.474999999999998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1</v>
      </c>
      <c r="S15" s="22">
        <f t="shared" si="13"/>
        <v>0.36249999999999999</v>
      </c>
      <c r="T15" s="5">
        <f t="shared" si="13"/>
        <v>61</v>
      </c>
      <c r="U15" s="5"/>
      <c r="V15" s="22">
        <f t="shared" ref="V15" si="14">+SUM(V8:V14)</f>
        <v>22.112499999999997</v>
      </c>
      <c r="W15" s="1" t="str">
        <f>+$B$17</f>
        <v>Dasani 500ml (24 Btl)</v>
      </c>
      <c r="Y15" s="2">
        <f>+$R$17</f>
        <v>3</v>
      </c>
      <c r="Z15" s="26">
        <f>+Y15*0.5</f>
        <v>1.5</v>
      </c>
      <c r="AA15" s="35">
        <f>+Y15+'09'!AA15</f>
        <v>19</v>
      </c>
      <c r="AB15" s="30">
        <f>+Z15+'09'!AB15</f>
        <v>9.5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+Y16+'09'!AA16</f>
        <v>5</v>
      </c>
      <c r="AB16" s="30">
        <f>+Z16+'09'!AB16</f>
        <v>6.25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+'09'!T17</f>
        <v>18</v>
      </c>
      <c r="F17" s="19">
        <f>+'09'!U17</f>
        <v>0.14833333333333334</v>
      </c>
      <c r="G17" s="19">
        <f>+'09'!V17</f>
        <v>2.6700000000000004</v>
      </c>
      <c r="H17" s="17"/>
      <c r="I17" s="18"/>
      <c r="J17" s="18">
        <f t="shared" ref="J17" si="15">+H17*I17</f>
        <v>0</v>
      </c>
      <c r="K17" s="16">
        <f>+E17+H17</f>
        <v>18</v>
      </c>
      <c r="L17" s="19">
        <f t="shared" ref="L17" si="16">IF(K17=0,,M17/K17)</f>
        <v>0.14833333333333334</v>
      </c>
      <c r="M17" s="19">
        <f>+J17+G17</f>
        <v>2.6700000000000004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3</v>
      </c>
      <c r="S17" s="18">
        <f t="shared" ref="S17" si="19">+R17*L17</f>
        <v>0.44500000000000006</v>
      </c>
      <c r="T17" s="17">
        <f t="shared" ref="T17" si="20">+K17-N17-P17-R17</f>
        <v>15</v>
      </c>
      <c r="U17" s="18">
        <f t="shared" ref="U17" si="21">IF(T17=0,,V17/T17)</f>
        <v>0.14833333333333334</v>
      </c>
      <c r="V17" s="18">
        <f t="shared" ref="V17" si="22">+T17*L17</f>
        <v>2.2250000000000001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+Y17+'09'!AA17</f>
        <v>6</v>
      </c>
      <c r="AB17" s="30">
        <f>+Z17+'09'!AB17</f>
        <v>7.5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18</v>
      </c>
      <c r="F18" s="5"/>
      <c r="G18" s="22">
        <f>+G17</f>
        <v>2.6700000000000004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18</v>
      </c>
      <c r="L18" s="5"/>
      <c r="M18" s="22">
        <f t="shared" ref="M18:T18" si="25">+M17</f>
        <v>2.6700000000000004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3</v>
      </c>
      <c r="S18" s="22">
        <f t="shared" si="25"/>
        <v>0.44500000000000006</v>
      </c>
      <c r="T18" s="5">
        <f t="shared" si="25"/>
        <v>15</v>
      </c>
      <c r="U18" s="5"/>
      <c r="V18" s="22">
        <f t="shared" ref="V18" si="26">+V17</f>
        <v>2.2250000000000001</v>
      </c>
      <c r="Y18" s="34">
        <f>+$R$22</f>
        <v>0</v>
      </c>
      <c r="Z18" s="26">
        <f t="shared" si="7"/>
        <v>0</v>
      </c>
      <c r="AA18" s="35">
        <f>+Y18+'09'!AA18</f>
        <v>0</v>
      </c>
      <c r="AB18" s="30">
        <f>+Z18+'09'!AB18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+Y19+'09'!AA19</f>
        <v>0</v>
      </c>
      <c r="AB19" s="30">
        <f>+Z19+'09'!AB19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+'09'!T20</f>
        <v>27</v>
      </c>
      <c r="F20" s="19">
        <f>+'09'!U20</f>
        <v>0.48</v>
      </c>
      <c r="G20" s="17">
        <f>+'09'!V20</f>
        <v>12.959999999999999</v>
      </c>
      <c r="H20" s="17"/>
      <c r="I20" s="18"/>
      <c r="J20" s="18">
        <f t="shared" ref="J20:J37" si="28">+H20*I20</f>
        <v>0</v>
      </c>
      <c r="K20" s="16">
        <f t="shared" ref="K20:K37" si="29">+E20+H20</f>
        <v>27</v>
      </c>
      <c r="L20" s="19">
        <f t="shared" ref="L20:L37" si="30">IF(K20=0,,M20/K20)</f>
        <v>0.48</v>
      </c>
      <c r="M20" s="19">
        <f t="shared" ref="M20:M37" si="31">+J20+G20</f>
        <v>12.959999999999999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27</v>
      </c>
      <c r="U20" s="18">
        <f t="shared" ref="U20:U37" si="35">IF(T20=0,,V20/T20)</f>
        <v>0.48</v>
      </c>
      <c r="V20" s="18">
        <f t="shared" ref="V20:V37" si="36">+T20*L20</f>
        <v>12.959999999999999</v>
      </c>
      <c r="W20" s="70" t="s">
        <v>43</v>
      </c>
      <c r="X20" s="70"/>
      <c r="Y20" s="28">
        <f>+SUM(Y8:Y19)</f>
        <v>4</v>
      </c>
      <c r="Z20" s="31">
        <f>+SUM(Z8:Z19)</f>
        <v>2.5</v>
      </c>
      <c r="AA20" s="28">
        <f>+SUM(AA8:AA19)</f>
        <v>54</v>
      </c>
      <c r="AB20" s="31">
        <f>+SUM(AB8:AB19)</f>
        <v>47.25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+'09'!T21</f>
        <v>23</v>
      </c>
      <c r="F21" s="19">
        <f>+'09'!U21</f>
        <v>0.65000000000000013</v>
      </c>
      <c r="G21" s="17">
        <f>+'09'!V21</f>
        <v>14.950000000000003</v>
      </c>
      <c r="H21" s="17"/>
      <c r="I21" s="18"/>
      <c r="J21" s="18">
        <f t="shared" si="28"/>
        <v>0</v>
      </c>
      <c r="K21" s="16">
        <f t="shared" si="29"/>
        <v>23</v>
      </c>
      <c r="L21" s="19">
        <f t="shared" si="30"/>
        <v>0.65000000000000013</v>
      </c>
      <c r="M21" s="19">
        <f t="shared" si="31"/>
        <v>14.950000000000003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23</v>
      </c>
      <c r="U21" s="18">
        <f t="shared" si="35"/>
        <v>0.65000000000000013</v>
      </c>
      <c r="V21" s="18">
        <f t="shared" si="36"/>
        <v>14.950000000000003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+'09'!T22</f>
        <v>0</v>
      </c>
      <c r="F22" s="19">
        <f>+'09'!U22</f>
        <v>0</v>
      </c>
      <c r="G22" s="17">
        <f>+'09'!V22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+'09'!T23</f>
        <v>0</v>
      </c>
      <c r="F23" s="19">
        <f>+'09'!U23</f>
        <v>0</v>
      </c>
      <c r="G23" s="17">
        <f>+'09'!V23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+'09'!T24</f>
        <v>0</v>
      </c>
      <c r="F24" s="19">
        <f>+'09'!U24</f>
        <v>0</v>
      </c>
      <c r="G24" s="17">
        <f>+'09'!V24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+'09'!T25</f>
        <v>0</v>
      </c>
      <c r="F25" s="19">
        <f>+'09'!U25</f>
        <v>0</v>
      </c>
      <c r="G25" s="17">
        <f>+'09'!V25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+'09'!T26</f>
        <v>0</v>
      </c>
      <c r="F26" s="19">
        <f>+'09'!U26</f>
        <v>0</v>
      </c>
      <c r="G26" s="17">
        <f>+'09'!V26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+'09'!T27</f>
        <v>0</v>
      </c>
      <c r="F27" s="19">
        <f>+'09'!U27</f>
        <v>0</v>
      </c>
      <c r="G27" s="17">
        <f>+'09'!V27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+'09'!T28</f>
        <v>0</v>
      </c>
      <c r="F28" s="19">
        <f>+'09'!U28</f>
        <v>0</v>
      </c>
      <c r="G28" s="17">
        <f>+'09'!V28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+'09'!T29</f>
        <v>0</v>
      </c>
      <c r="F29" s="19">
        <f>+'09'!U29</f>
        <v>0</v>
      </c>
      <c r="G29" s="17">
        <f>+'09'!V29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+'09'!T30</f>
        <v>0</v>
      </c>
      <c r="F30" s="19">
        <f>+'09'!U30</f>
        <v>0</v>
      </c>
      <c r="G30" s="17">
        <f>+'09'!V30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+'09'!T31</f>
        <v>0</v>
      </c>
      <c r="F31" s="19">
        <f>+'09'!U31</f>
        <v>0</v>
      </c>
      <c r="G31" s="17">
        <f>+'09'!V31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+'09'!T32</f>
        <v>0</v>
      </c>
      <c r="F32" s="19">
        <f>+'09'!U32</f>
        <v>0</v>
      </c>
      <c r="G32" s="17">
        <f>+'09'!V32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+'09'!T33</f>
        <v>0</v>
      </c>
      <c r="F33" s="19">
        <f>+'09'!U33</f>
        <v>0</v>
      </c>
      <c r="G33" s="17">
        <f>+'09'!V33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+'09'!T34</f>
        <v>0</v>
      </c>
      <c r="F34" s="19">
        <f>+'09'!U34</f>
        <v>0</v>
      </c>
      <c r="G34" s="17">
        <f>+'09'!V34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+'09'!T35</f>
        <v>0</v>
      </c>
      <c r="F35" s="19">
        <f>+'09'!U35</f>
        <v>0</v>
      </c>
      <c r="G35" s="17">
        <f>+'09'!V35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+'09'!T36</f>
        <v>0</v>
      </c>
      <c r="F36" s="19">
        <f>+'09'!U36</f>
        <v>0</v>
      </c>
      <c r="G36" s="17">
        <f>+'09'!V36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+'09'!T37</f>
        <v>0</v>
      </c>
      <c r="F37" s="19">
        <f>+'09'!U37</f>
        <v>0</v>
      </c>
      <c r="G37" s="17">
        <f>+'09'!V37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50</v>
      </c>
      <c r="F38" s="5"/>
      <c r="G38" s="22">
        <f>+SUM(G20:G37)</f>
        <v>27.910000000000004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50</v>
      </c>
      <c r="L38" s="5"/>
      <c r="M38" s="22">
        <f t="shared" ref="M38:T38" si="41">+SUM(M20:M37)</f>
        <v>27.910000000000004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50</v>
      </c>
      <c r="U38" s="5"/>
      <c r="V38" s="22">
        <f t="shared" ref="V38" si="42">+SUM(V20:V37)</f>
        <v>27.910000000000004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130</v>
      </c>
      <c r="F39" s="5"/>
      <c r="G39" s="22">
        <f>+SUM(G7:G38)/2</f>
        <v>53.055000000000007</v>
      </c>
      <c r="H39" s="5">
        <f>+SUM(H7:H38)/2</f>
        <v>0</v>
      </c>
      <c r="I39" s="5"/>
      <c r="J39" s="22">
        <f>+SUM(J7:J38)/2</f>
        <v>0</v>
      </c>
      <c r="K39" s="5">
        <f>+SUM(K7:K38)/2</f>
        <v>130</v>
      </c>
      <c r="L39" s="5"/>
      <c r="M39" s="22">
        <f t="shared" ref="M39:T39" si="43">+SUM(M7:M38)/2</f>
        <v>53.055000000000007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4</v>
      </c>
      <c r="S39" s="22">
        <f t="shared" si="43"/>
        <v>0.8075</v>
      </c>
      <c r="T39" s="5">
        <f t="shared" si="43"/>
        <v>126</v>
      </c>
      <c r="U39" s="5"/>
      <c r="V39" s="22">
        <f>+SUM(V7:V38)/2</f>
        <v>52.247500000000002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D08F-5D86-40A4-8FCC-D24EB0B285C0}">
  <sheetPr>
    <tabColor rgb="FF00B0F0"/>
  </sheetPr>
  <dimension ref="A2:AC47"/>
  <sheetViews>
    <sheetView view="pageBreakPreview" zoomScaleNormal="100" zoomScaleSheetLayoutView="100" workbookViewId="0">
      <pane xSplit="2" ySplit="7" topLeftCell="M8" activePane="bottomRight" state="frozen"/>
      <selection activeCell="K14" sqref="K14"/>
      <selection pane="topRight" activeCell="K14" sqref="K14"/>
      <selection pane="bottomLeft" activeCell="K14" sqref="K14"/>
      <selection pane="bottomRight" activeCell="R46" sqref="R46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26.44140625" style="1" customWidth="1"/>
    <col min="25" max="25" width="7.66406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+'10'!T4+1</f>
        <v>45849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+'10'!T8</f>
        <v>-12</v>
      </c>
      <c r="F8" s="19">
        <f>+'10'!U8</f>
        <v>0.36249999999999999</v>
      </c>
      <c r="G8" s="17">
        <f>+'10'!V8</f>
        <v>-4.3499999999999996</v>
      </c>
      <c r="H8" s="17"/>
      <c r="I8" s="18"/>
      <c r="J8" s="18">
        <f>+H8*I8</f>
        <v>0</v>
      </c>
      <c r="K8" s="16">
        <f t="shared" ref="K8:K14" si="0">+E8+H8</f>
        <v>-12</v>
      </c>
      <c r="L8" s="19">
        <f t="shared" ref="L8:L14" si="1">IF(K8=0,,M8/K8)</f>
        <v>0.36249999999999999</v>
      </c>
      <c r="M8" s="19">
        <f t="shared" ref="M8:M14" si="2">+J8+G8</f>
        <v>-4.3499999999999996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-12</v>
      </c>
      <c r="U8" s="18">
        <f t="shared" ref="U8:U14" si="5">IF(T8=0,,V8/T8)</f>
        <v>0.36249999999999999</v>
      </c>
      <c r="V8" s="18">
        <f t="shared" ref="V8:V14" si="6">+T8*L8</f>
        <v>-4.3499999999999996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+Y8+'10'!AA8</f>
        <v>13</v>
      </c>
      <c r="AB8" s="30">
        <f>+Z8+'10'!AB8</f>
        <v>13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+'10'!T9</f>
        <v>18</v>
      </c>
      <c r="F9" s="19">
        <f>+'10'!U9</f>
        <v>0.36249999999999999</v>
      </c>
      <c r="G9" s="17">
        <f>+'10'!V9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+Y9+'10'!AA9</f>
        <v>0</v>
      </c>
      <c r="AB9" s="30">
        <f>+Z9+'10'!AB9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+'10'!T10</f>
        <v>8</v>
      </c>
      <c r="F10" s="19">
        <f>+'10'!U10</f>
        <v>0.36249999999999999</v>
      </c>
      <c r="G10" s="17">
        <f>+'10'!V10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+Y10+'10'!AA10</f>
        <v>3</v>
      </c>
      <c r="AB10" s="30">
        <f>+Z10+'10'!AB10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+'10'!T11</f>
        <v>0</v>
      </c>
      <c r="F11" s="19">
        <f>+'10'!U11</f>
        <v>0</v>
      </c>
      <c r="G11" s="17">
        <f>+'10'!V11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+Y11+'10'!AA11</f>
        <v>2</v>
      </c>
      <c r="AB11" s="30">
        <f>+Z11+'10'!AB11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+'10'!T12</f>
        <v>13</v>
      </c>
      <c r="F12" s="19">
        <f>+'10'!U12</f>
        <v>0.36249999999999993</v>
      </c>
      <c r="G12" s="17">
        <f>+'10'!V12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+Y12+'10'!AA12</f>
        <v>1</v>
      </c>
      <c r="AB12" s="30">
        <f>+Z12+'10'!AB12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+'10'!T13</f>
        <v>18</v>
      </c>
      <c r="F13" s="19">
        <f>+'10'!U13</f>
        <v>0.36249999999999999</v>
      </c>
      <c r="G13" s="17">
        <f>+'10'!V13</f>
        <v>6.5249999999999995</v>
      </c>
      <c r="H13" s="17"/>
      <c r="I13" s="18"/>
      <c r="J13" s="18">
        <f t="shared" si="11"/>
        <v>0</v>
      </c>
      <c r="K13" s="16">
        <f t="shared" si="0"/>
        <v>18</v>
      </c>
      <c r="L13" s="19">
        <f t="shared" si="1"/>
        <v>0.36249999999999999</v>
      </c>
      <c r="M13" s="19">
        <f t="shared" si="2"/>
        <v>6.5249999999999995</v>
      </c>
      <c r="N13" s="17"/>
      <c r="O13" s="18">
        <f t="shared" si="9"/>
        <v>0</v>
      </c>
      <c r="P13" s="17"/>
      <c r="Q13" s="18">
        <f t="shared" si="10"/>
        <v>0</v>
      </c>
      <c r="R13" s="17">
        <v>1</v>
      </c>
      <c r="S13" s="18">
        <f t="shared" si="3"/>
        <v>0.36249999999999999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1</v>
      </c>
      <c r="Z13" s="26">
        <f t="shared" si="7"/>
        <v>1</v>
      </c>
      <c r="AA13" s="35">
        <f>+Y13+'10'!AA13</f>
        <v>2</v>
      </c>
      <c r="AB13" s="30">
        <f>+Z13+'10'!AB13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+'10'!T14</f>
        <v>16</v>
      </c>
      <c r="F14" s="19">
        <f>+'10'!U14</f>
        <v>0.36249999999999999</v>
      </c>
      <c r="G14" s="17">
        <f>+'10'!V14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+Y14+'10'!AA14</f>
        <v>4</v>
      </c>
      <c r="AB14" s="30">
        <f>+Z14+'10'!AB14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61</v>
      </c>
      <c r="F15" s="5"/>
      <c r="G15" s="22">
        <f>+SUM(G8:G14)</f>
        <v>22.112499999999997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61</v>
      </c>
      <c r="L15" s="5"/>
      <c r="M15" s="22">
        <f t="shared" ref="M15:T15" si="13">+SUM(M8:M14)</f>
        <v>22.112499999999997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1</v>
      </c>
      <c r="S15" s="22">
        <f t="shared" si="13"/>
        <v>0.36249999999999999</v>
      </c>
      <c r="T15" s="5">
        <f t="shared" si="13"/>
        <v>60</v>
      </c>
      <c r="U15" s="5"/>
      <c r="V15" s="22">
        <f t="shared" ref="V15" si="14">+SUM(V8:V14)</f>
        <v>21.749999999999996</v>
      </c>
      <c r="W15" s="1" t="str">
        <f>+$B$17</f>
        <v>Dasani 500ml (24 Btl)</v>
      </c>
      <c r="Y15" s="2">
        <f>+$R$17</f>
        <v>1</v>
      </c>
      <c r="Z15" s="26">
        <f>+Y15*0.5</f>
        <v>0.5</v>
      </c>
      <c r="AA15" s="35">
        <f>+Y15+'10'!AA15</f>
        <v>20</v>
      </c>
      <c r="AB15" s="30">
        <f>+Z15+'10'!AB15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3</v>
      </c>
      <c r="Z16" s="26">
        <f>+Y16*1.25</f>
        <v>3.75</v>
      </c>
      <c r="AA16" s="35">
        <f>+Y16+'10'!AA16</f>
        <v>8</v>
      </c>
      <c r="AB16" s="30">
        <f>+Z16+'10'!AB16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+'10'!T17</f>
        <v>15</v>
      </c>
      <c r="F17" s="19">
        <f>+'10'!U17</f>
        <v>0.14833333333333334</v>
      </c>
      <c r="G17" s="19">
        <f>+'10'!V17</f>
        <v>2.2250000000000001</v>
      </c>
      <c r="H17" s="17"/>
      <c r="I17" s="18"/>
      <c r="J17" s="18">
        <f t="shared" ref="J17" si="15">+H17*I17</f>
        <v>0</v>
      </c>
      <c r="K17" s="16">
        <f>+E17+H17</f>
        <v>15</v>
      </c>
      <c r="L17" s="19">
        <f t="shared" ref="L17" si="16">IF(K17=0,,M17/K17)</f>
        <v>0.14833333333333334</v>
      </c>
      <c r="M17" s="19">
        <f>+J17+G17</f>
        <v>2.2250000000000001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1</v>
      </c>
      <c r="S17" s="18">
        <f t="shared" ref="S17" si="19">+R17*L17</f>
        <v>0.14833333333333334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3</v>
      </c>
      <c r="Z17" s="26">
        <f>+Y17*1.25</f>
        <v>3.75</v>
      </c>
      <c r="AA17" s="35">
        <f>+Y17+'10'!AA17</f>
        <v>9</v>
      </c>
      <c r="AB17" s="30">
        <f>+Z17+'10'!AB17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15</v>
      </c>
      <c r="F18" s="5"/>
      <c r="G18" s="22">
        <f>+G17</f>
        <v>2.2250000000000001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15</v>
      </c>
      <c r="L18" s="5"/>
      <c r="M18" s="22">
        <f t="shared" ref="M18:T18" si="25">+M17</f>
        <v>2.2250000000000001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1</v>
      </c>
      <c r="S18" s="22">
        <f t="shared" si="25"/>
        <v>0.14833333333333334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+Y18+'10'!AA18</f>
        <v>0</v>
      </c>
      <c r="AB18" s="30">
        <f>+Z18+'10'!AB18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+Y19+'10'!AA19</f>
        <v>0</v>
      </c>
      <c r="AB19" s="30">
        <f>+Z19+'10'!AB19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+'10'!T20</f>
        <v>27</v>
      </c>
      <c r="F20" s="19">
        <f>+'10'!U20</f>
        <v>0.48</v>
      </c>
      <c r="G20" s="17">
        <f>+'10'!V20</f>
        <v>12.959999999999999</v>
      </c>
      <c r="H20" s="17"/>
      <c r="I20" s="18"/>
      <c r="J20" s="18">
        <f t="shared" ref="J20:J37" si="28">+H20*I20</f>
        <v>0</v>
      </c>
      <c r="K20" s="16">
        <f t="shared" ref="K20:K37" si="29">+E20+H20</f>
        <v>27</v>
      </c>
      <c r="L20" s="19">
        <f t="shared" ref="L20:L37" si="30">IF(K20=0,,M20/K20)</f>
        <v>0.48</v>
      </c>
      <c r="M20" s="19">
        <f t="shared" ref="M20:M37" si="31">+J20+G20</f>
        <v>12.959999999999999</v>
      </c>
      <c r="N20" s="17"/>
      <c r="O20" s="18">
        <f t="shared" ref="O20:O37" si="32">+N20*L20</f>
        <v>0</v>
      </c>
      <c r="P20" s="17"/>
      <c r="Q20" s="18">
        <f>+P20*L20</f>
        <v>0</v>
      </c>
      <c r="R20" s="17">
        <v>3</v>
      </c>
      <c r="S20" s="18">
        <f t="shared" ref="S20:S37" si="33">+R20*L20</f>
        <v>1.44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8</v>
      </c>
      <c r="Z20" s="31">
        <f>+SUM(Z8:Z19)</f>
        <v>9</v>
      </c>
      <c r="AA20" s="28">
        <f>+SUM(AA8:AA19)</f>
        <v>62</v>
      </c>
      <c r="AB20" s="31">
        <f>+SUM(AB8:AB19)</f>
        <v>56.25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+'10'!T21</f>
        <v>23</v>
      </c>
      <c r="F21" s="19">
        <f>+'10'!U21</f>
        <v>0.65000000000000013</v>
      </c>
      <c r="G21" s="17">
        <f>+'10'!V21</f>
        <v>14.950000000000003</v>
      </c>
      <c r="H21" s="17"/>
      <c r="I21" s="18"/>
      <c r="J21" s="18">
        <f t="shared" si="28"/>
        <v>0</v>
      </c>
      <c r="K21" s="16">
        <f t="shared" si="29"/>
        <v>23</v>
      </c>
      <c r="L21" s="19">
        <f t="shared" si="30"/>
        <v>0.65000000000000013</v>
      </c>
      <c r="M21" s="19">
        <f t="shared" si="31"/>
        <v>14.950000000000003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>
        <v>3</v>
      </c>
      <c r="S21" s="18">
        <f t="shared" si="33"/>
        <v>1.9500000000000004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+'10'!T22</f>
        <v>0</v>
      </c>
      <c r="F22" s="19">
        <f>+'10'!U22</f>
        <v>0</v>
      </c>
      <c r="G22" s="17">
        <f>+'10'!V22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+'10'!T23</f>
        <v>0</v>
      </c>
      <c r="F23" s="19">
        <f>+'10'!U23</f>
        <v>0</v>
      </c>
      <c r="G23" s="17">
        <f>+'10'!V23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+'10'!T24</f>
        <v>0</v>
      </c>
      <c r="F24" s="19">
        <f>+'10'!U24</f>
        <v>0</v>
      </c>
      <c r="G24" s="17">
        <f>+'10'!V24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+'10'!T25</f>
        <v>0</v>
      </c>
      <c r="F25" s="19">
        <f>+'10'!U25</f>
        <v>0</v>
      </c>
      <c r="G25" s="17">
        <f>+'10'!V25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+'10'!T26</f>
        <v>0</v>
      </c>
      <c r="F26" s="19">
        <f>+'10'!U26</f>
        <v>0</v>
      </c>
      <c r="G26" s="17">
        <f>+'10'!V26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+'10'!T27</f>
        <v>0</v>
      </c>
      <c r="F27" s="19">
        <f>+'10'!U27</f>
        <v>0</v>
      </c>
      <c r="G27" s="17">
        <f>+'10'!V27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+'10'!T28</f>
        <v>0</v>
      </c>
      <c r="F28" s="19">
        <f>+'10'!U28</f>
        <v>0</v>
      </c>
      <c r="G28" s="17">
        <f>+'10'!V28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+'10'!T29</f>
        <v>0</v>
      </c>
      <c r="F29" s="19">
        <f>+'10'!U29</f>
        <v>0</v>
      </c>
      <c r="G29" s="17">
        <f>+'10'!V29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+'10'!T30</f>
        <v>0</v>
      </c>
      <c r="F30" s="19">
        <f>+'10'!U30</f>
        <v>0</v>
      </c>
      <c r="G30" s="17">
        <f>+'10'!V30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+'10'!T31</f>
        <v>0</v>
      </c>
      <c r="F31" s="19">
        <f>+'10'!U31</f>
        <v>0</v>
      </c>
      <c r="G31" s="17">
        <f>+'10'!V31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+'10'!T32</f>
        <v>0</v>
      </c>
      <c r="F32" s="19">
        <f>+'10'!U32</f>
        <v>0</v>
      </c>
      <c r="G32" s="17">
        <f>+'10'!V32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+'10'!T33</f>
        <v>0</v>
      </c>
      <c r="F33" s="19">
        <f>+'10'!U33</f>
        <v>0</v>
      </c>
      <c r="G33" s="17">
        <f>+'10'!V33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+'10'!T34</f>
        <v>0</v>
      </c>
      <c r="F34" s="19">
        <f>+'10'!U34</f>
        <v>0</v>
      </c>
      <c r="G34" s="17">
        <f>+'10'!V34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+'10'!T35</f>
        <v>0</v>
      </c>
      <c r="F35" s="19">
        <f>+'10'!U35</f>
        <v>0</v>
      </c>
      <c r="G35" s="17">
        <f>+'10'!V35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+'10'!T36</f>
        <v>0</v>
      </c>
      <c r="F36" s="19">
        <f>+'10'!U36</f>
        <v>0</v>
      </c>
      <c r="G36" s="17">
        <f>+'10'!V36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+'10'!T37</f>
        <v>0</v>
      </c>
      <c r="F37" s="19">
        <f>+'10'!U37</f>
        <v>0</v>
      </c>
      <c r="G37" s="17">
        <f>+'10'!V37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50</v>
      </c>
      <c r="F38" s="5"/>
      <c r="G38" s="22">
        <f>+SUM(G20:G37)</f>
        <v>27.910000000000004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50</v>
      </c>
      <c r="L38" s="5"/>
      <c r="M38" s="22">
        <f t="shared" ref="M38:T38" si="41">+SUM(M20:M37)</f>
        <v>27.910000000000004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6</v>
      </c>
      <c r="S38" s="22">
        <f t="shared" si="41"/>
        <v>3.3900000000000006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126</v>
      </c>
      <c r="F39" s="5"/>
      <c r="G39" s="22">
        <f>+SUM(G7:G38)/2</f>
        <v>52.247500000000002</v>
      </c>
      <c r="H39" s="5">
        <f>+SUM(H7:H38)/2</f>
        <v>0</v>
      </c>
      <c r="I39" s="5"/>
      <c r="J39" s="22">
        <f>+SUM(J7:J38)/2</f>
        <v>0</v>
      </c>
      <c r="K39" s="5">
        <f>+SUM(K7:K38)/2</f>
        <v>126</v>
      </c>
      <c r="L39" s="5"/>
      <c r="M39" s="22">
        <f t="shared" ref="M39:T39" si="43">+SUM(M7:M38)/2</f>
        <v>52.247500000000002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8</v>
      </c>
      <c r="S39" s="22">
        <f t="shared" si="43"/>
        <v>3.9008333333333338</v>
      </c>
      <c r="T39" s="5">
        <f t="shared" si="43"/>
        <v>118</v>
      </c>
      <c r="U39" s="5"/>
      <c r="V39" s="22">
        <f>+SUM(V7:V38)/2</f>
        <v>48.346666666666664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F3B5-EBF9-4F35-8B7D-F07269009EE3}">
  <sheetPr>
    <tabColor rgb="FF00B0F0"/>
  </sheetPr>
  <dimension ref="A2:AC47"/>
  <sheetViews>
    <sheetView view="pageBreakPreview" zoomScale="80" zoomScaleNormal="100" zoomScaleSheetLayoutView="80" workbookViewId="0">
      <pane xSplit="2" ySplit="7" topLeftCell="I8" activePane="bottomRight" state="frozen"/>
      <selection activeCell="K14" sqref="K14"/>
      <selection pane="topRight" activeCell="K14" sqref="K14"/>
      <selection pane="bottomLeft" activeCell="K14" sqref="K14"/>
      <selection pane="bottomRight" activeCell="R12" sqref="R12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33.109375" style="1" customWidth="1"/>
    <col min="25" max="25" width="7.66406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+'11'!T4+1</f>
        <v>45850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+'11'!T8</f>
        <v>-12</v>
      </c>
      <c r="F8" s="19">
        <f>+'11'!U8</f>
        <v>0.36249999999999999</v>
      </c>
      <c r="G8" s="17">
        <f>+'11'!V8</f>
        <v>-4.3499999999999996</v>
      </c>
      <c r="H8" s="17"/>
      <c r="I8" s="18"/>
      <c r="J8" s="18">
        <f>+H8*I8</f>
        <v>0</v>
      </c>
      <c r="K8" s="16">
        <f t="shared" ref="K8:K14" si="0">+E8+H8</f>
        <v>-12</v>
      </c>
      <c r="L8" s="19">
        <f t="shared" ref="L8:L14" si="1">IF(K8=0,,M8/K8)</f>
        <v>0.36249999999999999</v>
      </c>
      <c r="M8" s="19">
        <f t="shared" ref="M8:M14" si="2">+J8+G8</f>
        <v>-4.3499999999999996</v>
      </c>
      <c r="N8" s="17"/>
      <c r="O8" s="18">
        <f>+N8*L8</f>
        <v>0</v>
      </c>
      <c r="P8" s="17"/>
      <c r="Q8" s="18">
        <f>+P8*L8</f>
        <v>0</v>
      </c>
      <c r="R8" s="17">
        <v>2</v>
      </c>
      <c r="S8" s="18">
        <f t="shared" ref="S8:S14" si="3">+R8*L8</f>
        <v>0.72499999999999998</v>
      </c>
      <c r="T8" s="17">
        <f t="shared" ref="T8:T14" si="4">+K8-N8-P8-R8</f>
        <v>-14</v>
      </c>
      <c r="U8" s="18">
        <f t="shared" ref="U8:U14" si="5">IF(T8=0,,V8/T8)</f>
        <v>0.36249999999999999</v>
      </c>
      <c r="V8" s="18">
        <f t="shared" ref="V8:V14" si="6">+T8*L8</f>
        <v>-5.0750000000000002</v>
      </c>
      <c r="W8" s="1" t="str">
        <f>+$B$8</f>
        <v>Cocacola Classic 330ml (24cans)</v>
      </c>
      <c r="Y8" s="2">
        <f>+$R$8</f>
        <v>2</v>
      </c>
      <c r="Z8" s="26">
        <f t="shared" ref="Z8:Z19" si="7">+Y8*1</f>
        <v>2</v>
      </c>
      <c r="AA8" s="35">
        <f>+Y8+'11'!AA8</f>
        <v>15</v>
      </c>
      <c r="AB8" s="30">
        <f>+Z8+'11'!AB8</f>
        <v>15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+'11'!T9</f>
        <v>18</v>
      </c>
      <c r="F9" s="19">
        <f>+'11'!U9</f>
        <v>0.36249999999999999</v>
      </c>
      <c r="G9" s="17">
        <f>+'11'!V9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+Y9+'11'!AA9</f>
        <v>0</v>
      </c>
      <c r="AB9" s="30">
        <f>+Z9+'11'!AB9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+'11'!T10</f>
        <v>8</v>
      </c>
      <c r="F10" s="19">
        <f>+'11'!U10</f>
        <v>0.36249999999999999</v>
      </c>
      <c r="G10" s="17">
        <f>+'11'!V10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+Y10+'11'!AA10</f>
        <v>3</v>
      </c>
      <c r="AB10" s="30">
        <f>+Z10+'11'!AB10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+'11'!T11</f>
        <v>0</v>
      </c>
      <c r="F11" s="19">
        <f>+'11'!U11</f>
        <v>0</v>
      </c>
      <c r="G11" s="17">
        <f>+'11'!V11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+Y11+'11'!AA11</f>
        <v>2</v>
      </c>
      <c r="AB11" s="30">
        <f>+Z11+'11'!AB11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+'11'!T12</f>
        <v>13</v>
      </c>
      <c r="F12" s="19">
        <f>+'11'!U12</f>
        <v>0.36249999999999993</v>
      </c>
      <c r="G12" s="17">
        <f>+'11'!V12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+Y12+'11'!AA12</f>
        <v>1</v>
      </c>
      <c r="AB12" s="30">
        <f>+Z12+'11'!AB12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+'11'!T13</f>
        <v>17</v>
      </c>
      <c r="F13" s="19">
        <f>+'11'!U13</f>
        <v>0.36249999999999999</v>
      </c>
      <c r="G13" s="17">
        <f>+'11'!V13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+Y13+'11'!AA13</f>
        <v>2</v>
      </c>
      <c r="AB13" s="30">
        <f>+Z13+'11'!AB13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+'11'!T14</f>
        <v>16</v>
      </c>
      <c r="F14" s="19">
        <f>+'11'!U14</f>
        <v>0.36249999999999999</v>
      </c>
      <c r="G14" s="17">
        <f>+'11'!V14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+Y14+'11'!AA14</f>
        <v>4</v>
      </c>
      <c r="AB14" s="30">
        <f>+Z14+'11'!AB14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60</v>
      </c>
      <c r="F15" s="5"/>
      <c r="G15" s="22">
        <f>+SUM(G8:G14)</f>
        <v>21.749999999999996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60</v>
      </c>
      <c r="L15" s="5"/>
      <c r="M15" s="22">
        <f t="shared" ref="M15:T15" si="13">+SUM(M8:M14)</f>
        <v>21.749999999999996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2</v>
      </c>
      <c r="S15" s="22">
        <f t="shared" si="13"/>
        <v>0.72499999999999998</v>
      </c>
      <c r="T15" s="5">
        <f t="shared" si="13"/>
        <v>58</v>
      </c>
      <c r="U15" s="5"/>
      <c r="V15" s="22">
        <f t="shared" ref="V15" si="14">+SUM(V8:V14)</f>
        <v>21.024999999999999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+Y15+'11'!AA15</f>
        <v>20</v>
      </c>
      <c r="AB15" s="30">
        <f>+Z15+'11'!AB15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+Y16+'11'!AA16</f>
        <v>8</v>
      </c>
      <c r="AB16" s="30">
        <f>+Z16+'11'!AB16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+'11'!T17</f>
        <v>14</v>
      </c>
      <c r="F17" s="19">
        <f>+'11'!U17</f>
        <v>0.14833333333333334</v>
      </c>
      <c r="G17" s="19">
        <f>+'11'!V17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+Y17+'11'!AA17</f>
        <v>9</v>
      </c>
      <c r="AB17" s="30">
        <f>+Z17+'11'!AB17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+Y18+'11'!AA18</f>
        <v>0</v>
      </c>
      <c r="AB18" s="30">
        <f>+Z18+'11'!AB18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+Y19+'11'!AA19</f>
        <v>0</v>
      </c>
      <c r="AB19" s="30">
        <f>+Z19+'11'!AB19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+'11'!T20</f>
        <v>24</v>
      </c>
      <c r="F20" s="19">
        <f>+'11'!U20</f>
        <v>0.48</v>
      </c>
      <c r="G20" s="17">
        <f>+'11'!V20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2</v>
      </c>
      <c r="Z20" s="31">
        <f>+SUM(Z8:Z19)</f>
        <v>2</v>
      </c>
      <c r="AA20" s="28">
        <f>+SUM(AA8:AA19)</f>
        <v>64</v>
      </c>
      <c r="AB20" s="31">
        <f>+SUM(AB8:AB19)</f>
        <v>58.25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+'11'!T21</f>
        <v>20</v>
      </c>
      <c r="F21" s="19">
        <f>+'11'!U21</f>
        <v>0.65000000000000013</v>
      </c>
      <c r="G21" s="17">
        <f>+'11'!V21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+'11'!T22</f>
        <v>0</v>
      </c>
      <c r="F22" s="19">
        <f>+'11'!U22</f>
        <v>0</v>
      </c>
      <c r="G22" s="17">
        <f>+'11'!V22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+'11'!T23</f>
        <v>0</v>
      </c>
      <c r="F23" s="19">
        <f>+'11'!U23</f>
        <v>0</v>
      </c>
      <c r="G23" s="17">
        <f>+'11'!V23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+'11'!T24</f>
        <v>0</v>
      </c>
      <c r="F24" s="19">
        <f>+'11'!U24</f>
        <v>0</v>
      </c>
      <c r="G24" s="17">
        <f>+'11'!V24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+'11'!T25</f>
        <v>0</v>
      </c>
      <c r="F25" s="19">
        <f>+'11'!U25</f>
        <v>0</v>
      </c>
      <c r="G25" s="17">
        <f>+'11'!V25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+'11'!T26</f>
        <v>0</v>
      </c>
      <c r="F26" s="19">
        <f>+'11'!U26</f>
        <v>0</v>
      </c>
      <c r="G26" s="17">
        <f>+'11'!V26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+'11'!T27</f>
        <v>0</v>
      </c>
      <c r="F27" s="19">
        <f>+'11'!U27</f>
        <v>0</v>
      </c>
      <c r="G27" s="17">
        <f>+'11'!V27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+'11'!T28</f>
        <v>0</v>
      </c>
      <c r="F28" s="19">
        <f>+'11'!U28</f>
        <v>0</v>
      </c>
      <c r="G28" s="17">
        <f>+'11'!V28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+'11'!T29</f>
        <v>0</v>
      </c>
      <c r="F29" s="19">
        <f>+'11'!U29</f>
        <v>0</v>
      </c>
      <c r="G29" s="17">
        <f>+'11'!V29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+'11'!T30</f>
        <v>0</v>
      </c>
      <c r="F30" s="19">
        <f>+'11'!U30</f>
        <v>0</v>
      </c>
      <c r="G30" s="17">
        <f>+'11'!V30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+'11'!T31</f>
        <v>0</v>
      </c>
      <c r="F31" s="19">
        <f>+'11'!U31</f>
        <v>0</v>
      </c>
      <c r="G31" s="17">
        <f>+'11'!V31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+'11'!T32</f>
        <v>0</v>
      </c>
      <c r="F32" s="19">
        <f>+'11'!U32</f>
        <v>0</v>
      </c>
      <c r="G32" s="17">
        <f>+'11'!V32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+'11'!T33</f>
        <v>0</v>
      </c>
      <c r="F33" s="19">
        <f>+'11'!U33</f>
        <v>0</v>
      </c>
      <c r="G33" s="17">
        <f>+'11'!V33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+'11'!T34</f>
        <v>0</v>
      </c>
      <c r="F34" s="19">
        <f>+'11'!U34</f>
        <v>0</v>
      </c>
      <c r="G34" s="17">
        <f>+'11'!V34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+'11'!T35</f>
        <v>0</v>
      </c>
      <c r="F35" s="19">
        <f>+'11'!U35</f>
        <v>0</v>
      </c>
      <c r="G35" s="17">
        <f>+'11'!V35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+'11'!T36</f>
        <v>0</v>
      </c>
      <c r="F36" s="19">
        <f>+'11'!U36</f>
        <v>0</v>
      </c>
      <c r="G36" s="17">
        <f>+'11'!V36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+'11'!T37</f>
        <v>0</v>
      </c>
      <c r="F37" s="19">
        <f>+'11'!U37</f>
        <v>0</v>
      </c>
      <c r="G37" s="17">
        <f>+'11'!V37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118</v>
      </c>
      <c r="F39" s="5"/>
      <c r="G39" s="22">
        <f>+SUM(G7:G38)/2</f>
        <v>48.346666666666664</v>
      </c>
      <c r="H39" s="5">
        <f>+SUM(H7:H38)/2</f>
        <v>0</v>
      </c>
      <c r="I39" s="5"/>
      <c r="J39" s="22">
        <f>+SUM(J7:J38)/2</f>
        <v>0</v>
      </c>
      <c r="K39" s="5">
        <f>+SUM(K7:K38)/2</f>
        <v>118</v>
      </c>
      <c r="L39" s="5"/>
      <c r="M39" s="22">
        <f t="shared" ref="M39:T39" si="43">+SUM(M7:M38)/2</f>
        <v>48.346666666666664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0.72499999999999998</v>
      </c>
      <c r="T39" s="5">
        <f t="shared" si="43"/>
        <v>116</v>
      </c>
      <c r="U39" s="5"/>
      <c r="V39" s="22">
        <f>+SUM(V7:V38)/2</f>
        <v>47.62166666666667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09C0-5C65-4EAF-9CCF-889C4705AB60}">
  <dimension ref="A2:AC47"/>
  <sheetViews>
    <sheetView view="pageBreakPreview" zoomScaleNormal="100" zoomScaleSheetLayoutView="100" workbookViewId="0">
      <pane xSplit="2" ySplit="7" topLeftCell="R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27.6640625" style="1" customWidth="1"/>
    <col min="25" max="25" width="6.5546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+'12'!T4+1</f>
        <v>45851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+'12'!T8</f>
        <v>-14</v>
      </c>
      <c r="F8" s="19">
        <f>+'12'!U8</f>
        <v>0.36249999999999999</v>
      </c>
      <c r="G8" s="17">
        <f>+'12'!V8</f>
        <v>-5.0750000000000002</v>
      </c>
      <c r="H8" s="17"/>
      <c r="I8" s="18"/>
      <c r="J8" s="18">
        <f>+H8*I8</f>
        <v>0</v>
      </c>
      <c r="K8" s="16">
        <f t="shared" ref="K8:K14" si="0">+E8+H8</f>
        <v>-14</v>
      </c>
      <c r="L8" s="19">
        <f t="shared" ref="L8:L14" si="1">IF(K8=0,,M8/K8)</f>
        <v>0.36249999999999999</v>
      </c>
      <c r="M8" s="19">
        <f t="shared" ref="M8:M14" si="2">+J8+G8</f>
        <v>-5.0750000000000002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-14</v>
      </c>
      <c r="U8" s="18">
        <f t="shared" ref="U8:U14" si="5">IF(T8=0,,V8/T8)</f>
        <v>0.36249999999999999</v>
      </c>
      <c r="V8" s="18">
        <f t="shared" ref="V8:V14" si="6">+T8*L8</f>
        <v>-5.0750000000000002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+Y8+'12'!AA8</f>
        <v>15</v>
      </c>
      <c r="AB8" s="30">
        <f>+Z8+'12'!AB8</f>
        <v>15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+'12'!T9</f>
        <v>18</v>
      </c>
      <c r="F9" s="19">
        <f>+'12'!U9</f>
        <v>0.36249999999999999</v>
      </c>
      <c r="G9" s="17">
        <f>+'12'!V9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+Y9+'12'!AA9</f>
        <v>0</v>
      </c>
      <c r="AB9" s="30">
        <f>+Z9+'12'!AB9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+'12'!T10</f>
        <v>8</v>
      </c>
      <c r="F10" s="19">
        <f>+'12'!U10</f>
        <v>0.36249999999999999</v>
      </c>
      <c r="G10" s="17">
        <f>+'12'!V10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+Y10+'12'!AA10</f>
        <v>3</v>
      </c>
      <c r="AB10" s="30">
        <f>+Z10+'12'!AB10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+'12'!T11</f>
        <v>0</v>
      </c>
      <c r="F11" s="19">
        <f>+'12'!U11</f>
        <v>0</v>
      </c>
      <c r="G11" s="17">
        <f>+'12'!V11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+Y11+'12'!AA11</f>
        <v>2</v>
      </c>
      <c r="AB11" s="30">
        <f>+Z11+'12'!AB11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+'12'!T12</f>
        <v>13</v>
      </c>
      <c r="F12" s="19">
        <f>+'12'!U12</f>
        <v>0.36249999999999993</v>
      </c>
      <c r="G12" s="17">
        <f>+'12'!V12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+Y12+'12'!AA12</f>
        <v>1</v>
      </c>
      <c r="AB12" s="30">
        <f>+Z12+'12'!AB12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+'12'!T13</f>
        <v>17</v>
      </c>
      <c r="F13" s="19">
        <f>+'12'!U13</f>
        <v>0.36249999999999999</v>
      </c>
      <c r="G13" s="17">
        <f>+'12'!V13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+Y13+'12'!AA13</f>
        <v>2</v>
      </c>
      <c r="AB13" s="30">
        <f>+Z13+'12'!AB13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+'12'!T14</f>
        <v>16</v>
      </c>
      <c r="F14" s="19">
        <f>+'12'!U14</f>
        <v>0.36249999999999999</v>
      </c>
      <c r="G14" s="17">
        <f>+'12'!V14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+Y14+'12'!AA14</f>
        <v>4</v>
      </c>
      <c r="AB14" s="30">
        <f>+Z14+'12'!AB14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58</v>
      </c>
      <c r="F15" s="5"/>
      <c r="G15" s="22">
        <f>+SUM(G8:G14)</f>
        <v>21.024999999999999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58</v>
      </c>
      <c r="L15" s="5"/>
      <c r="M15" s="22">
        <f t="shared" ref="M15:T15" si="13">+SUM(M8:M14)</f>
        <v>21.024999999999999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58</v>
      </c>
      <c r="U15" s="5"/>
      <c r="V15" s="22">
        <f t="shared" ref="V15" si="14">+SUM(V8:V14)</f>
        <v>21.024999999999999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+Y15+'12'!AA15</f>
        <v>20</v>
      </c>
      <c r="AB15" s="30">
        <f>+Z15+'12'!AB15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+Y16+'12'!AA16</f>
        <v>8</v>
      </c>
      <c r="AB16" s="30">
        <f>+Z16+'12'!AB16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+'12'!T17</f>
        <v>14</v>
      </c>
      <c r="F17" s="19">
        <f>+'12'!U17</f>
        <v>0.14833333333333334</v>
      </c>
      <c r="G17" s="19">
        <f>+'12'!V17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+Y17+'12'!AA17</f>
        <v>9</v>
      </c>
      <c r="AB17" s="30">
        <f>+Z17+'12'!AB17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+Y18+'12'!AA18</f>
        <v>0</v>
      </c>
      <c r="AB18" s="30">
        <f>+Z18+'12'!AB18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+Y19+'12'!AA19</f>
        <v>0</v>
      </c>
      <c r="AB19" s="30">
        <f>+Z19+'12'!AB19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+'12'!T20</f>
        <v>24</v>
      </c>
      <c r="F20" s="19">
        <f>+'12'!U20</f>
        <v>0.48</v>
      </c>
      <c r="G20" s="17">
        <f>+'12'!V20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64</v>
      </c>
      <c r="AB20" s="31">
        <f>+SUM(AB8:AB19)</f>
        <v>58.25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+'12'!T21</f>
        <v>20</v>
      </c>
      <c r="F21" s="19">
        <f>+'12'!U21</f>
        <v>0.65000000000000013</v>
      </c>
      <c r="G21" s="17">
        <f>+'12'!V21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+'12'!T22</f>
        <v>0</v>
      </c>
      <c r="F22" s="19">
        <f>+'12'!U22</f>
        <v>0</v>
      </c>
      <c r="G22" s="17">
        <f>+'12'!V22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+'12'!T23</f>
        <v>0</v>
      </c>
      <c r="F23" s="19">
        <f>+'12'!U23</f>
        <v>0</v>
      </c>
      <c r="G23" s="17">
        <f>+'12'!V23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+'12'!T24</f>
        <v>0</v>
      </c>
      <c r="F24" s="19">
        <f>+'12'!U24</f>
        <v>0</v>
      </c>
      <c r="G24" s="17">
        <f>+'12'!V24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+'12'!T25</f>
        <v>0</v>
      </c>
      <c r="F25" s="19">
        <f>+'12'!U25</f>
        <v>0</v>
      </c>
      <c r="G25" s="17">
        <f>+'12'!V25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+'12'!T26</f>
        <v>0</v>
      </c>
      <c r="F26" s="19">
        <f>+'12'!U26</f>
        <v>0</v>
      </c>
      <c r="G26" s="17">
        <f>+'12'!V26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+'12'!T27</f>
        <v>0</v>
      </c>
      <c r="F27" s="19">
        <f>+'12'!U27</f>
        <v>0</v>
      </c>
      <c r="G27" s="17">
        <f>+'12'!V27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+'12'!T28</f>
        <v>0</v>
      </c>
      <c r="F28" s="19">
        <f>+'12'!U28</f>
        <v>0</v>
      </c>
      <c r="G28" s="17">
        <f>+'12'!V28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+'12'!T29</f>
        <v>0</v>
      </c>
      <c r="F29" s="19">
        <f>+'12'!U29</f>
        <v>0</v>
      </c>
      <c r="G29" s="17">
        <f>+'12'!V29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+'12'!T30</f>
        <v>0</v>
      </c>
      <c r="F30" s="19">
        <f>+'12'!U30</f>
        <v>0</v>
      </c>
      <c r="G30" s="17">
        <f>+'12'!V30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+'12'!T31</f>
        <v>0</v>
      </c>
      <c r="F31" s="19">
        <f>+'12'!U31</f>
        <v>0</v>
      </c>
      <c r="G31" s="17">
        <f>+'12'!V31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+'12'!T32</f>
        <v>0</v>
      </c>
      <c r="F32" s="19">
        <f>+'12'!U32</f>
        <v>0</v>
      </c>
      <c r="G32" s="17">
        <f>+'12'!V32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+'12'!T33</f>
        <v>0</v>
      </c>
      <c r="F33" s="19">
        <f>+'12'!U33</f>
        <v>0</v>
      </c>
      <c r="G33" s="17">
        <f>+'12'!V33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+'12'!T34</f>
        <v>0</v>
      </c>
      <c r="F34" s="19">
        <f>+'12'!U34</f>
        <v>0</v>
      </c>
      <c r="G34" s="17">
        <f>+'12'!V34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+'12'!T35</f>
        <v>0</v>
      </c>
      <c r="F35" s="19">
        <f>+'12'!U35</f>
        <v>0</v>
      </c>
      <c r="G35" s="17">
        <f>+'12'!V35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+'12'!T36</f>
        <v>0</v>
      </c>
      <c r="F36" s="19">
        <f>+'12'!U36</f>
        <v>0</v>
      </c>
      <c r="G36" s="17">
        <f>+'12'!V36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+'12'!T37</f>
        <v>0</v>
      </c>
      <c r="F37" s="19">
        <f>+'12'!U37</f>
        <v>0</v>
      </c>
      <c r="G37" s="17">
        <f>+'12'!V37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116</v>
      </c>
      <c r="F39" s="5"/>
      <c r="G39" s="22">
        <f>+SUM(G7:G38)/2</f>
        <v>47.62166666666667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116</v>
      </c>
      <c r="L39" s="5"/>
      <c r="M39" s="22">
        <f t="shared" ref="M39:T39" si="43">+SUM(M7:M38)/2</f>
        <v>47.62166666666667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116</v>
      </c>
      <c r="U39" s="5"/>
      <c r="V39" s="22">
        <f>+SUM(V7:V38)/2</f>
        <v>47.62166666666667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FD45-6F69-4C87-9D77-0899345852F0}">
  <dimension ref="A2:AC47"/>
  <sheetViews>
    <sheetView view="pageBreakPreview" zoomScaleNormal="100" zoomScaleSheetLayoutView="100" workbookViewId="0">
      <pane xSplit="2" ySplit="7" topLeftCell="L10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.664062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.664062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.6640625" style="4" bestFit="1" customWidth="1"/>
    <col min="23" max="23" width="9.109375" style="1" customWidth="1"/>
    <col min="24" max="24" width="19" style="1" customWidth="1"/>
    <col min="25" max="25" width="8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+'13'!T4+1</f>
        <v>45852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+'13'!T8</f>
        <v>-14</v>
      </c>
      <c r="F8" s="19">
        <f>+'13'!U8</f>
        <v>0.36249999999999999</v>
      </c>
      <c r="G8" s="17">
        <f>+'13'!V8</f>
        <v>-5.0750000000000002</v>
      </c>
      <c r="H8" s="17"/>
      <c r="I8" s="18"/>
      <c r="J8" s="18">
        <f>+H8*I8</f>
        <v>0</v>
      </c>
      <c r="K8" s="16">
        <f t="shared" ref="K8:K14" si="0">+E8+H8</f>
        <v>-14</v>
      </c>
      <c r="L8" s="19">
        <f t="shared" ref="L8:L14" si="1">IF(K8=0,,M8/K8)</f>
        <v>0.36249999999999999</v>
      </c>
      <c r="M8" s="19">
        <f t="shared" ref="M8:M14" si="2">+J8+G8</f>
        <v>-5.0750000000000002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-14</v>
      </c>
      <c r="U8" s="18">
        <f t="shared" ref="U8:U14" si="5">IF(T8=0,,V8/T8)</f>
        <v>0.36249999999999999</v>
      </c>
      <c r="V8" s="18">
        <f t="shared" ref="V8:V14" si="6">+T8*L8</f>
        <v>-5.0750000000000002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+Y8+'13'!AA8</f>
        <v>15</v>
      </c>
      <c r="AB8" s="30">
        <f>+Z8+'13'!AB8</f>
        <v>15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+'13'!T9</f>
        <v>18</v>
      </c>
      <c r="F9" s="19">
        <f>+'13'!U9</f>
        <v>0.36249999999999999</v>
      </c>
      <c r="G9" s="17">
        <f>+'13'!V9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+Y9+'13'!AA9</f>
        <v>0</v>
      </c>
      <c r="AB9" s="30">
        <f>+Z9+'13'!AB9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+'13'!T10</f>
        <v>8</v>
      </c>
      <c r="F10" s="19">
        <f>+'13'!U10</f>
        <v>0.36249999999999999</v>
      </c>
      <c r="G10" s="17">
        <f>+'13'!V10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+Y10+'13'!AA10</f>
        <v>3</v>
      </c>
      <c r="AB10" s="30">
        <f>+Z10+'13'!AB10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+'13'!T11</f>
        <v>0</v>
      </c>
      <c r="F11" s="19">
        <f>+'13'!U11</f>
        <v>0</v>
      </c>
      <c r="G11" s="17">
        <f>+'13'!V11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+Y11+'13'!AA11</f>
        <v>2</v>
      </c>
      <c r="AB11" s="30">
        <f>+Z11+'13'!AB11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+'13'!T12</f>
        <v>13</v>
      </c>
      <c r="F12" s="19">
        <f>+'13'!U12</f>
        <v>0.36249999999999993</v>
      </c>
      <c r="G12" s="17">
        <f>+'13'!V12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+Y12+'13'!AA12</f>
        <v>1</v>
      </c>
      <c r="AB12" s="30">
        <f>+Z12+'13'!AB12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+'13'!T13</f>
        <v>17</v>
      </c>
      <c r="F13" s="19">
        <f>+'13'!U13</f>
        <v>0.36249999999999999</v>
      </c>
      <c r="G13" s="17">
        <f>+'13'!V13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+Y13+'13'!AA13</f>
        <v>2</v>
      </c>
      <c r="AB13" s="30">
        <f>+Z13+'13'!AB13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+'13'!T14</f>
        <v>16</v>
      </c>
      <c r="F14" s="19">
        <f>+'13'!U14</f>
        <v>0.36249999999999999</v>
      </c>
      <c r="G14" s="17">
        <f>+'13'!V14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+Y14+'13'!AA14</f>
        <v>4</v>
      </c>
      <c r="AB14" s="30">
        <f>+Z14+'13'!AB14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58</v>
      </c>
      <c r="F15" s="5"/>
      <c r="G15" s="22">
        <f>+SUM(G8:G14)</f>
        <v>21.024999999999999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58</v>
      </c>
      <c r="L15" s="5"/>
      <c r="M15" s="22">
        <f t="shared" ref="M15:T15" si="13">+SUM(M8:M14)</f>
        <v>21.024999999999999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58</v>
      </c>
      <c r="U15" s="5"/>
      <c r="V15" s="22">
        <f t="shared" ref="V15" si="14">+SUM(V8:V14)</f>
        <v>21.024999999999999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+Y15+'13'!AA15</f>
        <v>20</v>
      </c>
      <c r="AB15" s="30">
        <f>+Z15+'13'!AB15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+Y16+'13'!AA16</f>
        <v>8</v>
      </c>
      <c r="AB16" s="30">
        <f>+Z16+'13'!AB16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+'13'!T17</f>
        <v>14</v>
      </c>
      <c r="F17" s="19">
        <f>+'13'!U17</f>
        <v>0.14833333333333334</v>
      </c>
      <c r="G17" s="19">
        <f>+'13'!V17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+Y17+'13'!AA17</f>
        <v>9</v>
      </c>
      <c r="AB17" s="30">
        <f>+Z17+'13'!AB17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+Y18+'13'!AA18</f>
        <v>0</v>
      </c>
      <c r="AB18" s="30">
        <f>+Z18+'13'!AB18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+Y19+'13'!AA19</f>
        <v>0</v>
      </c>
      <c r="AB19" s="30">
        <f>+Z19+'13'!AB19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+'13'!T20</f>
        <v>24</v>
      </c>
      <c r="F20" s="19">
        <f>+'13'!U20</f>
        <v>0.48</v>
      </c>
      <c r="G20" s="17">
        <f>+'13'!V20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64</v>
      </c>
      <c r="AB20" s="31">
        <f>+SUM(AB8:AB19)</f>
        <v>58.25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+'13'!T21</f>
        <v>20</v>
      </c>
      <c r="F21" s="19">
        <f>+'13'!U21</f>
        <v>0.65000000000000013</v>
      </c>
      <c r="G21" s="17">
        <f>+'13'!V21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+'13'!T22</f>
        <v>0</v>
      </c>
      <c r="F22" s="19">
        <f>+'13'!U22</f>
        <v>0</v>
      </c>
      <c r="G22" s="17">
        <f>+'13'!V22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+'13'!T23</f>
        <v>0</v>
      </c>
      <c r="F23" s="19">
        <f>+'13'!U23</f>
        <v>0</v>
      </c>
      <c r="G23" s="17">
        <f>+'13'!V23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+'13'!T24</f>
        <v>0</v>
      </c>
      <c r="F24" s="19">
        <f>+'13'!U24</f>
        <v>0</v>
      </c>
      <c r="G24" s="17">
        <f>+'13'!V24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+'13'!T25</f>
        <v>0</v>
      </c>
      <c r="F25" s="19">
        <f>+'13'!U25</f>
        <v>0</v>
      </c>
      <c r="G25" s="17">
        <f>+'13'!V25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+'13'!T26</f>
        <v>0</v>
      </c>
      <c r="F26" s="19">
        <f>+'13'!U26</f>
        <v>0</v>
      </c>
      <c r="G26" s="17">
        <f>+'13'!V26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+'13'!T27</f>
        <v>0</v>
      </c>
      <c r="F27" s="19">
        <f>+'13'!U27</f>
        <v>0</v>
      </c>
      <c r="G27" s="17">
        <f>+'13'!V27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+'13'!T28</f>
        <v>0</v>
      </c>
      <c r="F28" s="19">
        <f>+'13'!U28</f>
        <v>0</v>
      </c>
      <c r="G28" s="17">
        <f>+'13'!V28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+'13'!T29</f>
        <v>0</v>
      </c>
      <c r="F29" s="19">
        <f>+'13'!U29</f>
        <v>0</v>
      </c>
      <c r="G29" s="17">
        <f>+'13'!V29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+'13'!T30</f>
        <v>0</v>
      </c>
      <c r="F30" s="19">
        <f>+'13'!U30</f>
        <v>0</v>
      </c>
      <c r="G30" s="17">
        <f>+'13'!V30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+'13'!T31</f>
        <v>0</v>
      </c>
      <c r="F31" s="19">
        <f>+'13'!U31</f>
        <v>0</v>
      </c>
      <c r="G31" s="17">
        <f>+'13'!V31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+'13'!T32</f>
        <v>0</v>
      </c>
      <c r="F32" s="19">
        <f>+'13'!U32</f>
        <v>0</v>
      </c>
      <c r="G32" s="17">
        <f>+'13'!V32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+'13'!T33</f>
        <v>0</v>
      </c>
      <c r="F33" s="19">
        <f>+'13'!U33</f>
        <v>0</v>
      </c>
      <c r="G33" s="17">
        <f>+'13'!V33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+'13'!T34</f>
        <v>0</v>
      </c>
      <c r="F34" s="19">
        <f>+'13'!U34</f>
        <v>0</v>
      </c>
      <c r="G34" s="17">
        <f>+'13'!V34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+'13'!T35</f>
        <v>0</v>
      </c>
      <c r="F35" s="19">
        <f>+'13'!U35</f>
        <v>0</v>
      </c>
      <c r="G35" s="17">
        <f>+'13'!V35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+'13'!T36</f>
        <v>0</v>
      </c>
      <c r="F36" s="19">
        <f>+'13'!U36</f>
        <v>0</v>
      </c>
      <c r="G36" s="17">
        <f>+'13'!V36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+'13'!T37</f>
        <v>0</v>
      </c>
      <c r="F37" s="19">
        <f>+'13'!U37</f>
        <v>0</v>
      </c>
      <c r="G37" s="17">
        <f>+'13'!V37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116</v>
      </c>
      <c r="F39" s="5"/>
      <c r="G39" s="22">
        <f>+SUM(G7:G38)/2</f>
        <v>47.62166666666667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116</v>
      </c>
      <c r="L39" s="5"/>
      <c r="M39" s="22">
        <f t="shared" ref="M39:T39" si="43">+SUM(M7:M38)/2</f>
        <v>47.62166666666667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116</v>
      </c>
      <c r="U39" s="5"/>
      <c r="V39" s="22">
        <f>+SUM(V7:V38)/2</f>
        <v>47.62166666666667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1C90-2442-4380-9A0A-ADBDDBAA24A8}">
  <dimension ref="A2:AC47"/>
  <sheetViews>
    <sheetView view="pageBreakPreview" zoomScale="90" zoomScaleNormal="100" zoomScaleSheetLayoutView="90" workbookViewId="0">
      <pane xSplit="2" ySplit="7" topLeftCell="K9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109375" style="1" customWidth="1"/>
    <col min="25" max="25" width="7.332031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+'14'!T4+1</f>
        <v>45853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+'14'!T8</f>
        <v>-14</v>
      </c>
      <c r="F8" s="19">
        <f>+'14'!U8</f>
        <v>0.36249999999999999</v>
      </c>
      <c r="G8" s="17">
        <f>+'14'!V8</f>
        <v>-5.0750000000000002</v>
      </c>
      <c r="H8" s="17"/>
      <c r="I8" s="18"/>
      <c r="J8" s="18">
        <f>+H8*I8</f>
        <v>0</v>
      </c>
      <c r="K8" s="16">
        <f t="shared" ref="K8:K14" si="0">+E8+H8</f>
        <v>-14</v>
      </c>
      <c r="L8" s="19">
        <f t="shared" ref="L8:L14" si="1">IF(K8=0,,M8/K8)</f>
        <v>0.36249999999999999</v>
      </c>
      <c r="M8" s="19">
        <f t="shared" ref="M8:M14" si="2">+J8+G8</f>
        <v>-5.0750000000000002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-14</v>
      </c>
      <c r="U8" s="18">
        <f t="shared" ref="U8:U14" si="5">IF(T8=0,,V8/T8)</f>
        <v>0.36249999999999999</v>
      </c>
      <c r="V8" s="18">
        <f t="shared" ref="V8:V14" si="6">+T8*L8</f>
        <v>-5.0750000000000002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+Y8+'14'!AA8</f>
        <v>15</v>
      </c>
      <c r="AB8" s="30">
        <f>+Z8+'14'!AB8</f>
        <v>15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+'14'!T9</f>
        <v>18</v>
      </c>
      <c r="F9" s="19">
        <f>+'14'!U9</f>
        <v>0.36249999999999999</v>
      </c>
      <c r="G9" s="17">
        <f>+'14'!V9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+Y9+'14'!AA9</f>
        <v>0</v>
      </c>
      <c r="AB9" s="30">
        <f>+Z9+'14'!AB9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+'14'!T10</f>
        <v>8</v>
      </c>
      <c r="F10" s="19">
        <f>+'14'!U10</f>
        <v>0.36249999999999999</v>
      </c>
      <c r="G10" s="17">
        <f>+'14'!V10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+Y10+'14'!AA10</f>
        <v>3</v>
      </c>
      <c r="AB10" s="30">
        <f>+Z10+'14'!AB10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+'14'!T11</f>
        <v>0</v>
      </c>
      <c r="F11" s="19">
        <f>+'14'!U11</f>
        <v>0</v>
      </c>
      <c r="G11" s="17">
        <f>+'14'!V11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+Y11+'14'!AA11</f>
        <v>2</v>
      </c>
      <c r="AB11" s="30">
        <f>+Z11+'14'!AB11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+'14'!T12</f>
        <v>13</v>
      </c>
      <c r="F12" s="19">
        <f>+'14'!U12</f>
        <v>0.36249999999999993</v>
      </c>
      <c r="G12" s="17">
        <f>+'14'!V12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+Y12+'14'!AA12</f>
        <v>1</v>
      </c>
      <c r="AB12" s="30">
        <f>+Z12+'14'!AB12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+'14'!T13</f>
        <v>17</v>
      </c>
      <c r="F13" s="19">
        <f>+'14'!U13</f>
        <v>0.36249999999999999</v>
      </c>
      <c r="G13" s="17">
        <f>+'14'!V13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+Y13+'14'!AA13</f>
        <v>2</v>
      </c>
      <c r="AB13" s="30">
        <f>+Z13+'14'!AB13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+'14'!T14</f>
        <v>16</v>
      </c>
      <c r="F14" s="19">
        <f>+'14'!U14</f>
        <v>0.36249999999999999</v>
      </c>
      <c r="G14" s="17">
        <f>+'14'!V14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+Y14+'14'!AA14</f>
        <v>4</v>
      </c>
      <c r="AB14" s="30">
        <f>+Z14+'14'!AB14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58</v>
      </c>
      <c r="F15" s="5"/>
      <c r="G15" s="22">
        <f>+SUM(G8:G14)</f>
        <v>21.024999999999999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58</v>
      </c>
      <c r="L15" s="5"/>
      <c r="M15" s="22">
        <f t="shared" ref="M15:T15" si="13">+SUM(M8:M14)</f>
        <v>21.024999999999999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58</v>
      </c>
      <c r="U15" s="5"/>
      <c r="V15" s="22">
        <f t="shared" ref="V15" si="14">+SUM(V8:V14)</f>
        <v>21.024999999999999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+Y15+'14'!AA15</f>
        <v>20</v>
      </c>
      <c r="AB15" s="30">
        <f>+Z15+'14'!AB15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+Y16+'14'!AA16</f>
        <v>8</v>
      </c>
      <c r="AB16" s="30">
        <f>+Z16+'14'!AB16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+'14'!T17</f>
        <v>14</v>
      </c>
      <c r="F17" s="19">
        <f>+'14'!U17</f>
        <v>0.14833333333333334</v>
      </c>
      <c r="G17" s="19">
        <f>+'14'!V17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+Y17+'14'!AA17</f>
        <v>9</v>
      </c>
      <c r="AB17" s="30">
        <f>+Z17+'14'!AB17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+Y18+'14'!AA18</f>
        <v>0</v>
      </c>
      <c r="AB18" s="30">
        <f>+Z18+'14'!AB18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+Y19+'14'!AA19</f>
        <v>0</v>
      </c>
      <c r="AB19" s="30">
        <f>+Z19+'14'!AB19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+'14'!T20</f>
        <v>24</v>
      </c>
      <c r="F20" s="19">
        <f>+'14'!U20</f>
        <v>0.48</v>
      </c>
      <c r="G20" s="17">
        <f>+'14'!V20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64</v>
      </c>
      <c r="AB20" s="31">
        <f>+SUM(AB8:AB19)</f>
        <v>58.25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+'14'!T21</f>
        <v>20</v>
      </c>
      <c r="F21" s="19">
        <f>+'14'!U21</f>
        <v>0.65000000000000013</v>
      </c>
      <c r="G21" s="17">
        <f>+'14'!V21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+'14'!T22</f>
        <v>0</v>
      </c>
      <c r="F22" s="19">
        <f>+'14'!U22</f>
        <v>0</v>
      </c>
      <c r="G22" s="17">
        <f>+'14'!V22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+'14'!T23</f>
        <v>0</v>
      </c>
      <c r="F23" s="19">
        <f>+'14'!U23</f>
        <v>0</v>
      </c>
      <c r="G23" s="17">
        <f>+'14'!V23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+'14'!T24</f>
        <v>0</v>
      </c>
      <c r="F24" s="19">
        <f>+'14'!U24</f>
        <v>0</v>
      </c>
      <c r="G24" s="17">
        <f>+'14'!V24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+'14'!T25</f>
        <v>0</v>
      </c>
      <c r="F25" s="19">
        <f>+'14'!U25</f>
        <v>0</v>
      </c>
      <c r="G25" s="17">
        <f>+'14'!V25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+'14'!T26</f>
        <v>0</v>
      </c>
      <c r="F26" s="19">
        <f>+'14'!U26</f>
        <v>0</v>
      </c>
      <c r="G26" s="17">
        <f>+'14'!V26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+'14'!T27</f>
        <v>0</v>
      </c>
      <c r="F27" s="19">
        <f>+'14'!U27</f>
        <v>0</v>
      </c>
      <c r="G27" s="17">
        <f>+'14'!V27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+'14'!T28</f>
        <v>0</v>
      </c>
      <c r="F28" s="19">
        <f>+'14'!U28</f>
        <v>0</v>
      </c>
      <c r="G28" s="17">
        <f>+'14'!V28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+'14'!T29</f>
        <v>0</v>
      </c>
      <c r="F29" s="19">
        <f>+'14'!U29</f>
        <v>0</v>
      </c>
      <c r="G29" s="17">
        <f>+'14'!V29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+'14'!T30</f>
        <v>0</v>
      </c>
      <c r="F30" s="19">
        <f>+'14'!U30</f>
        <v>0</v>
      </c>
      <c r="G30" s="17">
        <f>+'14'!V30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+'14'!T31</f>
        <v>0</v>
      </c>
      <c r="F31" s="19">
        <f>+'14'!U31</f>
        <v>0</v>
      </c>
      <c r="G31" s="17">
        <f>+'14'!V31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+'14'!T32</f>
        <v>0</v>
      </c>
      <c r="F32" s="19">
        <f>+'14'!U32</f>
        <v>0</v>
      </c>
      <c r="G32" s="17">
        <f>+'14'!V32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+'14'!T33</f>
        <v>0</v>
      </c>
      <c r="F33" s="19">
        <f>+'14'!U33</f>
        <v>0</v>
      </c>
      <c r="G33" s="17">
        <f>+'14'!V33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+'14'!T34</f>
        <v>0</v>
      </c>
      <c r="F34" s="19">
        <f>+'14'!U34</f>
        <v>0</v>
      </c>
      <c r="G34" s="17">
        <f>+'14'!V34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+'14'!T35</f>
        <v>0</v>
      </c>
      <c r="F35" s="19">
        <f>+'14'!U35</f>
        <v>0</v>
      </c>
      <c r="G35" s="17">
        <f>+'14'!V35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+'14'!T36</f>
        <v>0</v>
      </c>
      <c r="F36" s="19">
        <f>+'14'!U36</f>
        <v>0</v>
      </c>
      <c r="G36" s="17">
        <f>+'14'!V36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+'14'!T37</f>
        <v>0</v>
      </c>
      <c r="F37" s="19">
        <f>+'14'!U37</f>
        <v>0</v>
      </c>
      <c r="G37" s="17">
        <f>+'14'!V37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116</v>
      </c>
      <c r="F39" s="5"/>
      <c r="G39" s="22">
        <f>+SUM(G7:G38)/2</f>
        <v>47.62166666666667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116</v>
      </c>
      <c r="L39" s="5"/>
      <c r="M39" s="22">
        <f t="shared" ref="M39:T39" si="43">+SUM(M7:M38)/2</f>
        <v>47.62166666666667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116</v>
      </c>
      <c r="U39" s="5"/>
      <c r="V39" s="22">
        <f>+SUM(V7:V38)/2</f>
        <v>47.62166666666667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41AA-0152-489D-9E3D-F822D85EE5CE}">
  <dimension ref="A2:AC47"/>
  <sheetViews>
    <sheetView view="pageBreakPreview" zoomScale="90" zoomScaleNormal="100" zoomScaleSheetLayoutView="90" workbookViewId="0">
      <pane xSplit="2" ySplit="7" topLeftCell="I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5.44140625" style="1" customWidth="1"/>
    <col min="25" max="25" width="6.88671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+'15'!T4+1</f>
        <v>45854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+'15'!T8</f>
        <v>-14</v>
      </c>
      <c r="F8" s="19">
        <f>+'15'!U8</f>
        <v>0.36249999999999999</v>
      </c>
      <c r="G8" s="17">
        <f>+'15'!V8</f>
        <v>-5.0750000000000002</v>
      </c>
      <c r="H8" s="17"/>
      <c r="I8" s="18"/>
      <c r="J8" s="18">
        <f>+H8*I8</f>
        <v>0</v>
      </c>
      <c r="K8" s="16">
        <f t="shared" ref="K8:K14" si="0">+E8+H8</f>
        <v>-14</v>
      </c>
      <c r="L8" s="19">
        <f t="shared" ref="L8:L14" si="1">IF(K8=0,,M8/K8)</f>
        <v>0.36249999999999999</v>
      </c>
      <c r="M8" s="19">
        <f t="shared" ref="M8:M14" si="2">+J8+G8</f>
        <v>-5.0750000000000002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-14</v>
      </c>
      <c r="U8" s="18">
        <f t="shared" ref="U8:U14" si="5">IF(T8=0,,V8/T8)</f>
        <v>0.36249999999999999</v>
      </c>
      <c r="V8" s="18">
        <f t="shared" ref="V8:V14" si="6">+T8*L8</f>
        <v>-5.0750000000000002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+Y8+'15'!AA8</f>
        <v>15</v>
      </c>
      <c r="AB8" s="30">
        <f>+Z8+'15'!AB8</f>
        <v>15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+'15'!T9</f>
        <v>18</v>
      </c>
      <c r="F9" s="19">
        <f>+'15'!U9</f>
        <v>0.36249999999999999</v>
      </c>
      <c r="G9" s="17">
        <f>+'15'!V9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+Y9+'15'!AA9</f>
        <v>0</v>
      </c>
      <c r="AB9" s="30">
        <f>+Z9+'15'!AB9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+'15'!T10</f>
        <v>8</v>
      </c>
      <c r="F10" s="19">
        <f>+'15'!U10</f>
        <v>0.36249999999999999</v>
      </c>
      <c r="G10" s="17">
        <f>+'15'!V10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+Y10+'15'!AA10</f>
        <v>3</v>
      </c>
      <c r="AB10" s="30">
        <f>+Z10+'15'!AB10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+'15'!T11</f>
        <v>0</v>
      </c>
      <c r="F11" s="19">
        <f>+'15'!U11</f>
        <v>0</v>
      </c>
      <c r="G11" s="17">
        <f>+'15'!V11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+Y11+'15'!AA11</f>
        <v>2</v>
      </c>
      <c r="AB11" s="30">
        <f>+Z11+'15'!AB11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+'15'!T12</f>
        <v>13</v>
      </c>
      <c r="F12" s="19">
        <f>+'15'!U12</f>
        <v>0.36249999999999993</v>
      </c>
      <c r="G12" s="17">
        <f>+'15'!V12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13</v>
      </c>
      <c r="U12" s="18">
        <f t="shared" si="5"/>
        <v>0.36249999999999993</v>
      </c>
      <c r="V12" s="18">
        <f t="shared" si="6"/>
        <v>4.7124999999999995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+Y12+'15'!AA12</f>
        <v>1</v>
      </c>
      <c r="AB12" s="30">
        <f>+Z12+'15'!AB12</f>
        <v>1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+'15'!T13</f>
        <v>17</v>
      </c>
      <c r="F13" s="19">
        <f>+'15'!U13</f>
        <v>0.36249999999999999</v>
      </c>
      <c r="G13" s="17">
        <f>+'15'!V13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+Y13+'15'!AA13</f>
        <v>2</v>
      </c>
      <c r="AB13" s="30">
        <f>+Z13+'15'!AB13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+'15'!T14</f>
        <v>16</v>
      </c>
      <c r="F14" s="19">
        <f>+'15'!U14</f>
        <v>0.36249999999999999</v>
      </c>
      <c r="G14" s="17">
        <f>+'15'!V14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+Y14+'15'!AA14</f>
        <v>4</v>
      </c>
      <c r="AB14" s="30">
        <f>+Z14+'15'!AB14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58</v>
      </c>
      <c r="F15" s="5"/>
      <c r="G15" s="22">
        <f>+SUM(G8:G14)</f>
        <v>21.024999999999999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58</v>
      </c>
      <c r="L15" s="5"/>
      <c r="M15" s="22">
        <f t="shared" ref="M15:T15" si="13">+SUM(M8:M14)</f>
        <v>21.024999999999999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58</v>
      </c>
      <c r="U15" s="5"/>
      <c r="V15" s="22">
        <f t="shared" ref="V15" si="14">+SUM(V8:V14)</f>
        <v>21.024999999999999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+Y15+'15'!AA15</f>
        <v>20</v>
      </c>
      <c r="AB15" s="30">
        <f>+Z15+'15'!AB15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+Y16+'15'!AA16</f>
        <v>8</v>
      </c>
      <c r="AB16" s="30">
        <f>+Z16+'15'!AB16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+'15'!T17</f>
        <v>14</v>
      </c>
      <c r="F17" s="19">
        <f>+'15'!U17</f>
        <v>0.14833333333333334</v>
      </c>
      <c r="G17" s="19">
        <f>+'15'!V17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+Y17+'15'!AA17</f>
        <v>9</v>
      </c>
      <c r="AB17" s="30">
        <f>+Z17+'15'!AB17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+Y18+'15'!AA18</f>
        <v>0</v>
      </c>
      <c r="AB18" s="30">
        <f>+Z18+'15'!AB18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+Y19+'15'!AA19</f>
        <v>0</v>
      </c>
      <c r="AB19" s="30">
        <f>+Z19+'15'!AB19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+'15'!T20</f>
        <v>24</v>
      </c>
      <c r="F20" s="19">
        <f>+'15'!U20</f>
        <v>0.48</v>
      </c>
      <c r="G20" s="17">
        <f>+'15'!V20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64</v>
      </c>
      <c r="AB20" s="31">
        <f>+SUM(AB8:AB19)</f>
        <v>58.25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+'15'!T21</f>
        <v>20</v>
      </c>
      <c r="F21" s="19">
        <f>+'15'!U21</f>
        <v>0.65000000000000013</v>
      </c>
      <c r="G21" s="17">
        <f>+'15'!V21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+'15'!T22</f>
        <v>0</v>
      </c>
      <c r="F22" s="19">
        <f>+'15'!U22</f>
        <v>0</v>
      </c>
      <c r="G22" s="17">
        <f>+'15'!V22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+'15'!T23</f>
        <v>0</v>
      </c>
      <c r="F23" s="19">
        <f>+'15'!U23</f>
        <v>0</v>
      </c>
      <c r="G23" s="17">
        <f>+'15'!V23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+'15'!T24</f>
        <v>0</v>
      </c>
      <c r="F24" s="19">
        <f>+'15'!U24</f>
        <v>0</v>
      </c>
      <c r="G24" s="17">
        <f>+'15'!V24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+'15'!T25</f>
        <v>0</v>
      </c>
      <c r="F25" s="19">
        <f>+'15'!U25</f>
        <v>0</v>
      </c>
      <c r="G25" s="17">
        <f>+'15'!V25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+'15'!T26</f>
        <v>0</v>
      </c>
      <c r="F26" s="19">
        <f>+'15'!U26</f>
        <v>0</v>
      </c>
      <c r="G26" s="17">
        <f>+'15'!V26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+'15'!T27</f>
        <v>0</v>
      </c>
      <c r="F27" s="19">
        <f>+'15'!U27</f>
        <v>0</v>
      </c>
      <c r="G27" s="17">
        <f>+'15'!V27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+'15'!T28</f>
        <v>0</v>
      </c>
      <c r="F28" s="19">
        <f>+'15'!U28</f>
        <v>0</v>
      </c>
      <c r="G28" s="17">
        <f>+'15'!V28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+'15'!T29</f>
        <v>0</v>
      </c>
      <c r="F29" s="19">
        <f>+'15'!U29</f>
        <v>0</v>
      </c>
      <c r="G29" s="17">
        <f>+'15'!V29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+'15'!T30</f>
        <v>0</v>
      </c>
      <c r="F30" s="19">
        <f>+'15'!U30</f>
        <v>0</v>
      </c>
      <c r="G30" s="17">
        <f>+'15'!V30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+'15'!T31</f>
        <v>0</v>
      </c>
      <c r="F31" s="19">
        <f>+'15'!U31</f>
        <v>0</v>
      </c>
      <c r="G31" s="17">
        <f>+'15'!V31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+'15'!T32</f>
        <v>0</v>
      </c>
      <c r="F32" s="19">
        <f>+'15'!U32</f>
        <v>0</v>
      </c>
      <c r="G32" s="17">
        <f>+'15'!V32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+'15'!T33</f>
        <v>0</v>
      </c>
      <c r="F33" s="19">
        <f>+'15'!U33</f>
        <v>0</v>
      </c>
      <c r="G33" s="17">
        <f>+'15'!V33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+'15'!T34</f>
        <v>0</v>
      </c>
      <c r="F34" s="19">
        <f>+'15'!U34</f>
        <v>0</v>
      </c>
      <c r="G34" s="17">
        <f>+'15'!V34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+'15'!T35</f>
        <v>0</v>
      </c>
      <c r="F35" s="19">
        <f>+'15'!U35</f>
        <v>0</v>
      </c>
      <c r="G35" s="17">
        <f>+'15'!V35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+'15'!T36</f>
        <v>0</v>
      </c>
      <c r="F36" s="19">
        <f>+'15'!U36</f>
        <v>0</v>
      </c>
      <c r="G36" s="17">
        <f>+'15'!V36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+'15'!T37</f>
        <v>0</v>
      </c>
      <c r="F37" s="19">
        <f>+'15'!U37</f>
        <v>0</v>
      </c>
      <c r="G37" s="17">
        <f>+'15'!V37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116</v>
      </c>
      <c r="F39" s="5"/>
      <c r="G39" s="22">
        <f>+SUM(G7:G38)/2</f>
        <v>47.62166666666667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116</v>
      </c>
      <c r="L39" s="5"/>
      <c r="M39" s="22">
        <f t="shared" ref="M39:T39" si="43">+SUM(M7:M38)/2</f>
        <v>47.62166666666667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116</v>
      </c>
      <c r="U39" s="5"/>
      <c r="V39" s="22">
        <f>+SUM(V7:V38)/2</f>
        <v>47.62166666666667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5E86-6E61-4CD6-A675-65D4A5606106}">
  <sheetPr>
    <tabColor rgb="FF00B0F0"/>
  </sheetPr>
  <dimension ref="A2:AC47"/>
  <sheetViews>
    <sheetView view="pageBreakPreview" zoomScale="90" zoomScaleNormal="100" zoomScaleSheetLayoutView="90" workbookViewId="0">
      <pane xSplit="2" ySplit="7" topLeftCell="J8" activePane="bottomRight" state="frozen"/>
      <selection activeCell="K14" sqref="K14"/>
      <selection pane="topRight" activeCell="K14" sqref="K14"/>
      <selection pane="bottomLeft" activeCell="K14" sqref="K14"/>
      <selection pane="bottomRight" activeCell="T17" sqref="T17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44140625" style="1" customWidth="1"/>
    <col min="25" max="25" width="6.332031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+'16'!T4+1</f>
        <v>45855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+'16'!T8</f>
        <v>-14</v>
      </c>
      <c r="F8" s="19">
        <f>+'16'!U8</f>
        <v>0.36249999999999999</v>
      </c>
      <c r="G8" s="17">
        <f>+'16'!V8</f>
        <v>-5.0750000000000002</v>
      </c>
      <c r="H8" s="17"/>
      <c r="I8" s="18"/>
      <c r="J8" s="18">
        <f>+H8*I8</f>
        <v>0</v>
      </c>
      <c r="K8" s="16">
        <f t="shared" ref="K8:K14" si="0">+E8+H8</f>
        <v>-14</v>
      </c>
      <c r="L8" s="19">
        <f t="shared" ref="L8:L14" si="1">IF(K8=0,,M8/K8)</f>
        <v>0.36249999999999999</v>
      </c>
      <c r="M8" s="19">
        <f t="shared" ref="M8:M14" si="2">+J8+G8</f>
        <v>-5.0750000000000002</v>
      </c>
      <c r="N8" s="17"/>
      <c r="O8" s="18">
        <f>+N8*L8</f>
        <v>0</v>
      </c>
      <c r="P8" s="17"/>
      <c r="Q8" s="18">
        <f>+P8*L8</f>
        <v>0</v>
      </c>
      <c r="R8" s="17">
        <v>5</v>
      </c>
      <c r="S8" s="18">
        <f t="shared" ref="S8:S14" si="3">+R8*L8</f>
        <v>1.8125</v>
      </c>
      <c r="T8" s="17">
        <f t="shared" ref="T8:T14" si="4">+K8-N8-P8-R8</f>
        <v>-19</v>
      </c>
      <c r="U8" s="18">
        <f t="shared" ref="U8:U14" si="5">IF(T8=0,,V8/T8)</f>
        <v>0.36249999999999999</v>
      </c>
      <c r="V8" s="18">
        <f t="shared" ref="V8:V14" si="6">+T8*L8</f>
        <v>-6.8875000000000002</v>
      </c>
      <c r="W8" s="1" t="str">
        <f>+$B$8</f>
        <v>Cocacola Classic 330ml (24cans)</v>
      </c>
      <c r="Y8" s="2">
        <f>+$R$8</f>
        <v>5</v>
      </c>
      <c r="Z8" s="26">
        <f t="shared" ref="Z8:Z19" si="7">+Y8*1</f>
        <v>5</v>
      </c>
      <c r="AA8" s="35">
        <f>+Y8+'16'!AA8</f>
        <v>20</v>
      </c>
      <c r="AB8" s="30">
        <f>+Z8+'16'!AB8</f>
        <v>20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+'16'!T9</f>
        <v>18</v>
      </c>
      <c r="F9" s="19">
        <f>+'16'!U9</f>
        <v>0.36249999999999999</v>
      </c>
      <c r="G9" s="17">
        <f>+'16'!V9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+Y9+'16'!AA9</f>
        <v>0</v>
      </c>
      <c r="AB9" s="30">
        <f>+Z9+'16'!AB9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+'16'!T10</f>
        <v>8</v>
      </c>
      <c r="F10" s="19">
        <f>+'16'!U10</f>
        <v>0.36249999999999999</v>
      </c>
      <c r="G10" s="17">
        <f>+'16'!V10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+Y10+'16'!AA10</f>
        <v>3</v>
      </c>
      <c r="AB10" s="30">
        <f>+Z10+'16'!AB10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+'16'!T11</f>
        <v>0</v>
      </c>
      <c r="F11" s="19">
        <f>+'16'!U11</f>
        <v>0</v>
      </c>
      <c r="G11" s="17">
        <f>+'16'!V11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+Y11+'16'!AA11</f>
        <v>2</v>
      </c>
      <c r="AB11" s="30">
        <f>+Z11+'16'!AB11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+'16'!T12</f>
        <v>13</v>
      </c>
      <c r="F12" s="19">
        <f>+'16'!U12</f>
        <v>0.36249999999999993</v>
      </c>
      <c r="G12" s="17">
        <f>+'16'!V12</f>
        <v>4.7124999999999995</v>
      </c>
      <c r="H12" s="17"/>
      <c r="I12" s="18"/>
      <c r="J12" s="18">
        <f t="shared" si="11"/>
        <v>0</v>
      </c>
      <c r="K12" s="16">
        <f t="shared" si="0"/>
        <v>13</v>
      </c>
      <c r="L12" s="19">
        <f t="shared" si="1"/>
        <v>0.36249999999999993</v>
      </c>
      <c r="M12" s="19">
        <f t="shared" si="2"/>
        <v>4.7124999999999995</v>
      </c>
      <c r="N12" s="17"/>
      <c r="O12" s="18">
        <f t="shared" si="9"/>
        <v>0</v>
      </c>
      <c r="P12" s="17"/>
      <c r="Q12" s="18">
        <f t="shared" si="10"/>
        <v>0</v>
      </c>
      <c r="R12" s="17">
        <v>3</v>
      </c>
      <c r="S12" s="18">
        <f t="shared" si="3"/>
        <v>1.0874999999999999</v>
      </c>
      <c r="T12" s="17">
        <f t="shared" si="4"/>
        <v>10</v>
      </c>
      <c r="U12" s="18">
        <f t="shared" si="5"/>
        <v>0.36249999999999993</v>
      </c>
      <c r="V12" s="18">
        <f t="shared" si="6"/>
        <v>3.6249999999999991</v>
      </c>
      <c r="W12" s="1" t="str">
        <f>+$B$12</f>
        <v>Schweppes Soda Water 330ml (24cans)</v>
      </c>
      <c r="Y12" s="2">
        <f>+$R$12</f>
        <v>3</v>
      </c>
      <c r="Z12" s="26">
        <f t="shared" si="7"/>
        <v>3</v>
      </c>
      <c r="AA12" s="35">
        <f>+Y12+'16'!AA12</f>
        <v>4</v>
      </c>
      <c r="AB12" s="30">
        <f>+Z12+'16'!AB12</f>
        <v>4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+'16'!T13</f>
        <v>17</v>
      </c>
      <c r="F13" s="19">
        <f>+'16'!U13</f>
        <v>0.36249999999999999</v>
      </c>
      <c r="G13" s="17">
        <f>+'16'!V13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+Y13+'16'!AA13</f>
        <v>2</v>
      </c>
      <c r="AB13" s="30">
        <f>+Z13+'16'!AB13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+'16'!T14</f>
        <v>16</v>
      </c>
      <c r="F14" s="19">
        <f>+'16'!U14</f>
        <v>0.36249999999999999</v>
      </c>
      <c r="G14" s="17">
        <f>+'16'!V14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+Y14+'16'!AA14</f>
        <v>4</v>
      </c>
      <c r="AB14" s="30">
        <f>+Z14+'16'!AB14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58</v>
      </c>
      <c r="F15" s="5"/>
      <c r="G15" s="22">
        <f>+SUM(G8:G14)</f>
        <v>21.024999999999999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58</v>
      </c>
      <c r="L15" s="5"/>
      <c r="M15" s="22">
        <f t="shared" ref="M15:T15" si="13">+SUM(M8:M14)</f>
        <v>21.024999999999999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8</v>
      </c>
      <c r="S15" s="22">
        <f t="shared" si="13"/>
        <v>2.9</v>
      </c>
      <c r="T15" s="5">
        <f t="shared" si="13"/>
        <v>50</v>
      </c>
      <c r="U15" s="5"/>
      <c r="V15" s="22">
        <f t="shared" ref="V15" si="14">+SUM(V8:V14)</f>
        <v>18.124999999999996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+Y15+'16'!AA15</f>
        <v>20</v>
      </c>
      <c r="AB15" s="30">
        <f>+Z15+'16'!AB15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+Y16+'16'!AA16</f>
        <v>8</v>
      </c>
      <c r="AB16" s="30">
        <f>+Z16+'16'!AB16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+'16'!T17</f>
        <v>14</v>
      </c>
      <c r="F17" s="19">
        <f>+'16'!U17</f>
        <v>0.14833333333333334</v>
      </c>
      <c r="G17" s="19">
        <f>+'16'!V17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+Y17+'16'!AA17</f>
        <v>9</v>
      </c>
      <c r="AB17" s="30">
        <f>+Z17+'16'!AB17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+Y18+'16'!AA18</f>
        <v>0</v>
      </c>
      <c r="AB18" s="30">
        <f>+Z18+'16'!AB18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+Y19+'16'!AA19</f>
        <v>0</v>
      </c>
      <c r="AB19" s="30">
        <f>+Z19+'16'!AB19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+'16'!T20</f>
        <v>24</v>
      </c>
      <c r="F20" s="19">
        <f>+'16'!U20</f>
        <v>0.48</v>
      </c>
      <c r="G20" s="17">
        <f>+'16'!V20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8</v>
      </c>
      <c r="Z20" s="31">
        <f>+SUM(Z8:Z19)</f>
        <v>8</v>
      </c>
      <c r="AA20" s="28">
        <f>+SUM(AA8:AA19)</f>
        <v>72</v>
      </c>
      <c r="AB20" s="31">
        <f>+SUM(AB8:AB19)</f>
        <v>66.25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+'16'!T21</f>
        <v>20</v>
      </c>
      <c r="F21" s="19">
        <f>+'16'!U21</f>
        <v>0.65000000000000013</v>
      </c>
      <c r="G21" s="17">
        <f>+'16'!V21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+'16'!T22</f>
        <v>0</v>
      </c>
      <c r="F22" s="19">
        <f>+'16'!U22</f>
        <v>0</v>
      </c>
      <c r="G22" s="17">
        <f>+'16'!V22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+'16'!T23</f>
        <v>0</v>
      </c>
      <c r="F23" s="19">
        <f>+'16'!U23</f>
        <v>0</v>
      </c>
      <c r="G23" s="17">
        <f>+'16'!V23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+'16'!T24</f>
        <v>0</v>
      </c>
      <c r="F24" s="19">
        <f>+'16'!U24</f>
        <v>0</v>
      </c>
      <c r="G24" s="17">
        <f>+'16'!V24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+'16'!T25</f>
        <v>0</v>
      </c>
      <c r="F25" s="19">
        <f>+'16'!U25</f>
        <v>0</v>
      </c>
      <c r="G25" s="17">
        <f>+'16'!V25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+'16'!T26</f>
        <v>0</v>
      </c>
      <c r="F26" s="19">
        <f>+'16'!U26</f>
        <v>0</v>
      </c>
      <c r="G26" s="17">
        <f>+'16'!V26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+'16'!T27</f>
        <v>0</v>
      </c>
      <c r="F27" s="19">
        <f>+'16'!U27</f>
        <v>0</v>
      </c>
      <c r="G27" s="17">
        <f>+'16'!V27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+'16'!T28</f>
        <v>0</v>
      </c>
      <c r="F28" s="19">
        <f>+'16'!U28</f>
        <v>0</v>
      </c>
      <c r="G28" s="17">
        <f>+'16'!V28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+'16'!T29</f>
        <v>0</v>
      </c>
      <c r="F29" s="19">
        <f>+'16'!U29</f>
        <v>0</v>
      </c>
      <c r="G29" s="17">
        <f>+'16'!V29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+'16'!T30</f>
        <v>0</v>
      </c>
      <c r="F30" s="19">
        <f>+'16'!U30</f>
        <v>0</v>
      </c>
      <c r="G30" s="17">
        <f>+'16'!V30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+'16'!T31</f>
        <v>0</v>
      </c>
      <c r="F31" s="19">
        <f>+'16'!U31</f>
        <v>0</v>
      </c>
      <c r="G31" s="17">
        <f>+'16'!V31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+'16'!T32</f>
        <v>0</v>
      </c>
      <c r="F32" s="19">
        <f>+'16'!U32</f>
        <v>0</v>
      </c>
      <c r="G32" s="17">
        <f>+'16'!V32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+'16'!T33</f>
        <v>0</v>
      </c>
      <c r="F33" s="19">
        <f>+'16'!U33</f>
        <v>0</v>
      </c>
      <c r="G33" s="17">
        <f>+'16'!V33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+'16'!T34</f>
        <v>0</v>
      </c>
      <c r="F34" s="19">
        <f>+'16'!U34</f>
        <v>0</v>
      </c>
      <c r="G34" s="17">
        <f>+'16'!V34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+'16'!T35</f>
        <v>0</v>
      </c>
      <c r="F35" s="19">
        <f>+'16'!U35</f>
        <v>0</v>
      </c>
      <c r="G35" s="17">
        <f>+'16'!V35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+'16'!T36</f>
        <v>0</v>
      </c>
      <c r="F36" s="19">
        <f>+'16'!U36</f>
        <v>0</v>
      </c>
      <c r="G36" s="17">
        <f>+'16'!V36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+'16'!T37</f>
        <v>0</v>
      </c>
      <c r="F37" s="19">
        <f>+'16'!U37</f>
        <v>0</v>
      </c>
      <c r="G37" s="17">
        <f>+'16'!V37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116</v>
      </c>
      <c r="F39" s="5"/>
      <c r="G39" s="22">
        <f>+SUM(G7:G38)/2</f>
        <v>47.62166666666667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116</v>
      </c>
      <c r="L39" s="5"/>
      <c r="M39" s="22">
        <f t="shared" ref="M39:T39" si="43">+SUM(M7:M38)/2</f>
        <v>47.62166666666667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8</v>
      </c>
      <c r="S39" s="22">
        <f t="shared" si="43"/>
        <v>2.9</v>
      </c>
      <c r="T39" s="5">
        <f t="shared" si="43"/>
        <v>108</v>
      </c>
      <c r="U39" s="5"/>
      <c r="V39" s="22">
        <f>+SUM(V7:V38)/2</f>
        <v>44.721666666666664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F4D2-1881-4091-88F1-A92C5FCB0530}">
  <sheetPr>
    <tabColor rgb="FF00B0F0"/>
  </sheetPr>
  <dimension ref="A2:AC47"/>
  <sheetViews>
    <sheetView view="pageBreakPreview" zoomScaleNormal="100" zoomScaleSheetLayoutView="100" workbookViewId="0">
      <pane xSplit="2" ySplit="7" topLeftCell="D8" activePane="bottomRight" state="frozen"/>
      <selection activeCell="K14" sqref="K14"/>
      <selection pane="topRight" activeCell="K14" sqref="K14"/>
      <selection pane="bottomLeft" activeCell="K14" sqref="K14"/>
      <selection pane="bottomRight" activeCell="T12" sqref="T12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hidden="1" customWidth="1"/>
    <col min="4" max="4" width="5.5546875" style="1" customWidth="1"/>
    <col min="5" max="5" width="9.109375" style="1"/>
    <col min="6" max="6" width="9.109375" style="4"/>
    <col min="7" max="7" width="9.8867187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9.8867187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9.88671875" style="4" bestFit="1" customWidth="1"/>
    <col min="23" max="23" width="9.109375" style="1" customWidth="1"/>
    <col min="24" max="24" width="25.33203125" style="1" customWidth="1"/>
    <col min="25" max="25" width="7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+'17'!T4+1</f>
        <v>45856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+'17'!T8</f>
        <v>-19</v>
      </c>
      <c r="F8" s="19">
        <f>+'17'!U8</f>
        <v>0.36249999999999999</v>
      </c>
      <c r="G8" s="17">
        <f>+'17'!V8</f>
        <v>-6.8875000000000002</v>
      </c>
      <c r="H8" s="17"/>
      <c r="I8" s="18"/>
      <c r="J8" s="18">
        <f>+H8*I8</f>
        <v>0</v>
      </c>
      <c r="K8" s="16">
        <f t="shared" ref="K8:K14" si="0">+E8+H8</f>
        <v>-19</v>
      </c>
      <c r="L8" s="19">
        <f t="shared" ref="L8:L14" si="1">IF(K8=0,,M8/K8)</f>
        <v>0.36249999999999999</v>
      </c>
      <c r="M8" s="19">
        <f t="shared" ref="M8:M14" si="2">+J8+G8</f>
        <v>-6.8875000000000002</v>
      </c>
      <c r="N8" s="17"/>
      <c r="O8" s="18">
        <f>+N8*L8</f>
        <v>0</v>
      </c>
      <c r="P8" s="17"/>
      <c r="Q8" s="18">
        <f>+P8*L8</f>
        <v>0</v>
      </c>
      <c r="R8" s="17">
        <v>1</v>
      </c>
      <c r="S8" s="18">
        <f t="shared" ref="S8:S14" si="3">+R8*L8</f>
        <v>0.36249999999999999</v>
      </c>
      <c r="T8" s="17">
        <f t="shared" ref="T8:T14" si="4">+K8-N8-P8-R8</f>
        <v>-20</v>
      </c>
      <c r="U8" s="18">
        <f t="shared" ref="U8:U14" si="5">IF(T8=0,,V8/T8)</f>
        <v>0.36249999999999999</v>
      </c>
      <c r="V8" s="18">
        <f t="shared" ref="V8:V14" si="6">+T8*L8</f>
        <v>-7.25</v>
      </c>
      <c r="W8" s="1" t="str">
        <f>+$B$8</f>
        <v>Cocacola Classic 330ml (24cans)</v>
      </c>
      <c r="Y8" s="2">
        <f>+$R$8</f>
        <v>1</v>
      </c>
      <c r="Z8" s="26">
        <f t="shared" ref="Z8:Z19" si="7">+Y8*1</f>
        <v>1</v>
      </c>
      <c r="AA8" s="35">
        <f>+Y8+'17'!AA8</f>
        <v>21</v>
      </c>
      <c r="AB8" s="30">
        <f>+Z8+'17'!AB8</f>
        <v>21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+'17'!T9</f>
        <v>18</v>
      </c>
      <c r="F9" s="19">
        <f>+'17'!U9</f>
        <v>0.36249999999999999</v>
      </c>
      <c r="G9" s="17">
        <f>+'17'!V9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+Y9+'17'!AA9</f>
        <v>0</v>
      </c>
      <c r="AB9" s="30">
        <f>+Z9+'17'!AB9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+'17'!T10</f>
        <v>8</v>
      </c>
      <c r="F10" s="19">
        <f>+'17'!U10</f>
        <v>0.36249999999999999</v>
      </c>
      <c r="G10" s="17">
        <f>+'17'!V10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+Y10+'17'!AA10</f>
        <v>3</v>
      </c>
      <c r="AB10" s="30">
        <f>+Z10+'17'!AB10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+'17'!T11</f>
        <v>0</v>
      </c>
      <c r="F11" s="19">
        <f>+'17'!U11</f>
        <v>0</v>
      </c>
      <c r="G11" s="17">
        <f>+'17'!V11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+Y11+'17'!AA11</f>
        <v>2</v>
      </c>
      <c r="AB11" s="30">
        <f>+Z11+'17'!AB11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+'17'!T12</f>
        <v>10</v>
      </c>
      <c r="F12" s="19">
        <f>+'17'!U12</f>
        <v>0.36249999999999993</v>
      </c>
      <c r="G12" s="17">
        <f>+'17'!V12</f>
        <v>3.6249999999999991</v>
      </c>
      <c r="H12" s="17"/>
      <c r="I12" s="18"/>
      <c r="J12" s="18">
        <f t="shared" si="11"/>
        <v>0</v>
      </c>
      <c r="K12" s="16">
        <f t="shared" si="0"/>
        <v>10</v>
      </c>
      <c r="L12" s="19">
        <f t="shared" si="1"/>
        <v>0.36249999999999993</v>
      </c>
      <c r="M12" s="19">
        <f t="shared" si="2"/>
        <v>3.6249999999999991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10</v>
      </c>
      <c r="U12" s="18">
        <f t="shared" si="5"/>
        <v>0.36249999999999993</v>
      </c>
      <c r="V12" s="18">
        <f t="shared" si="6"/>
        <v>3.6249999999999991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+Y12+'17'!AA12</f>
        <v>4</v>
      </c>
      <c r="AB12" s="30">
        <f>+Z12+'17'!AB12</f>
        <v>4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+'17'!T13</f>
        <v>17</v>
      </c>
      <c r="F13" s="19">
        <f>+'17'!U13</f>
        <v>0.36249999999999999</v>
      </c>
      <c r="G13" s="17">
        <f>+'17'!V13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+Y13+'17'!AA13</f>
        <v>2</v>
      </c>
      <c r="AB13" s="30">
        <f>+Z13+'17'!AB13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+'17'!T14</f>
        <v>16</v>
      </c>
      <c r="F14" s="19">
        <f>+'17'!U14</f>
        <v>0.36249999999999999</v>
      </c>
      <c r="G14" s="17">
        <f>+'17'!V14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+Y14+'17'!AA14</f>
        <v>4</v>
      </c>
      <c r="AB14" s="30">
        <f>+Z14+'17'!AB14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50</v>
      </c>
      <c r="F15" s="5"/>
      <c r="G15" s="22">
        <f>+SUM(G8:G14)</f>
        <v>18.124999999999996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50</v>
      </c>
      <c r="L15" s="5"/>
      <c r="M15" s="22">
        <f t="shared" ref="M15:T15" si="13">+SUM(M8:M14)</f>
        <v>18.124999999999996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1</v>
      </c>
      <c r="S15" s="22">
        <f t="shared" si="13"/>
        <v>0.36249999999999999</v>
      </c>
      <c r="T15" s="5">
        <f t="shared" si="13"/>
        <v>49</v>
      </c>
      <c r="U15" s="5"/>
      <c r="V15" s="22">
        <f t="shared" ref="V15" si="14">+SUM(V8:V14)</f>
        <v>17.762499999999999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+Y15+'17'!AA15</f>
        <v>20</v>
      </c>
      <c r="AB15" s="30">
        <f>+Z15+'17'!AB15</f>
        <v>10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+Y16+'17'!AA16</f>
        <v>8</v>
      </c>
      <c r="AB16" s="30">
        <f>+Z16+'17'!AB16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+'17'!T17</f>
        <v>14</v>
      </c>
      <c r="F17" s="19">
        <f>+'17'!U17</f>
        <v>0.14833333333333334</v>
      </c>
      <c r="G17" s="19">
        <f>+'17'!V17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14</v>
      </c>
      <c r="U17" s="18">
        <f t="shared" ref="U17" si="21">IF(T17=0,,V17/T17)</f>
        <v>0.14833333333333334</v>
      </c>
      <c r="V17" s="18">
        <f t="shared" ref="V17" si="22">+T17*L17</f>
        <v>2.0766666666666667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+Y17+'17'!AA17</f>
        <v>9</v>
      </c>
      <c r="AB17" s="30">
        <f>+Z17+'17'!AB17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14</v>
      </c>
      <c r="U18" s="5"/>
      <c r="V18" s="22">
        <f t="shared" ref="V18" si="26">+V17</f>
        <v>2.0766666666666667</v>
      </c>
      <c r="Y18" s="34">
        <f>+$R$22</f>
        <v>0</v>
      </c>
      <c r="Z18" s="26">
        <f t="shared" si="7"/>
        <v>0</v>
      </c>
      <c r="AA18" s="35">
        <f>+Y18+'17'!AA18</f>
        <v>0</v>
      </c>
      <c r="AB18" s="30">
        <f>+Z18+'17'!AB18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+Y19+'17'!AA19</f>
        <v>0</v>
      </c>
      <c r="AB19" s="30">
        <f>+Z19+'17'!AB19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+'17'!T20</f>
        <v>24</v>
      </c>
      <c r="F20" s="19">
        <f>+'17'!U20</f>
        <v>0.48</v>
      </c>
      <c r="G20" s="17">
        <f>+'17'!V20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1</v>
      </c>
      <c r="Z20" s="31">
        <f>+SUM(Z8:Z19)</f>
        <v>1</v>
      </c>
      <c r="AA20" s="28">
        <f>+SUM(AA8:AA19)</f>
        <v>73</v>
      </c>
      <c r="AB20" s="31">
        <f>+SUM(AB8:AB19)</f>
        <v>67.25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+'17'!T21</f>
        <v>20</v>
      </c>
      <c r="F21" s="19">
        <f>+'17'!U21</f>
        <v>0.65000000000000013</v>
      </c>
      <c r="G21" s="17">
        <f>+'17'!V21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+'17'!T22</f>
        <v>0</v>
      </c>
      <c r="F22" s="19">
        <f>+'17'!U22</f>
        <v>0</v>
      </c>
      <c r="G22" s="17">
        <f>+'17'!V22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+'17'!T23</f>
        <v>0</v>
      </c>
      <c r="F23" s="19">
        <f>+'17'!U23</f>
        <v>0</v>
      </c>
      <c r="G23" s="17">
        <f>+'17'!V23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+'17'!T24</f>
        <v>0</v>
      </c>
      <c r="F24" s="19">
        <f>+'17'!U24</f>
        <v>0</v>
      </c>
      <c r="G24" s="17">
        <f>+'17'!V24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+'17'!T25</f>
        <v>0</v>
      </c>
      <c r="F25" s="19">
        <f>+'17'!U25</f>
        <v>0</v>
      </c>
      <c r="G25" s="17">
        <f>+'17'!V25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+'17'!T26</f>
        <v>0</v>
      </c>
      <c r="F26" s="19">
        <f>+'17'!U26</f>
        <v>0</v>
      </c>
      <c r="G26" s="17">
        <f>+'17'!V26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+'17'!T27</f>
        <v>0</v>
      </c>
      <c r="F27" s="19">
        <f>+'17'!U27</f>
        <v>0</v>
      </c>
      <c r="G27" s="17">
        <f>+'17'!V27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+'17'!T28</f>
        <v>0</v>
      </c>
      <c r="F28" s="19">
        <f>+'17'!U28</f>
        <v>0</v>
      </c>
      <c r="G28" s="17">
        <f>+'17'!V28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+'17'!T29</f>
        <v>0</v>
      </c>
      <c r="F29" s="19">
        <f>+'17'!U29</f>
        <v>0</v>
      </c>
      <c r="G29" s="17">
        <f>+'17'!V29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+'17'!T30</f>
        <v>0</v>
      </c>
      <c r="F30" s="19">
        <f>+'17'!U30</f>
        <v>0</v>
      </c>
      <c r="G30" s="17">
        <f>+'17'!V30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+'17'!T31</f>
        <v>0</v>
      </c>
      <c r="F31" s="19">
        <f>+'17'!U31</f>
        <v>0</v>
      </c>
      <c r="G31" s="17">
        <f>+'17'!V31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+'17'!T32</f>
        <v>0</v>
      </c>
      <c r="F32" s="19">
        <f>+'17'!U32</f>
        <v>0</v>
      </c>
      <c r="G32" s="17">
        <f>+'17'!V32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+'17'!T33</f>
        <v>0</v>
      </c>
      <c r="F33" s="19">
        <f>+'17'!U33</f>
        <v>0</v>
      </c>
      <c r="G33" s="17">
        <f>+'17'!V33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+'17'!T34</f>
        <v>0</v>
      </c>
      <c r="F34" s="19">
        <f>+'17'!U34</f>
        <v>0</v>
      </c>
      <c r="G34" s="17">
        <f>+'17'!V34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+'17'!T35</f>
        <v>0</v>
      </c>
      <c r="F35" s="19">
        <f>+'17'!U35</f>
        <v>0</v>
      </c>
      <c r="G35" s="17">
        <f>+'17'!V35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+'17'!T36</f>
        <v>0</v>
      </c>
      <c r="F36" s="19">
        <f>+'17'!U36</f>
        <v>0</v>
      </c>
      <c r="G36" s="17">
        <f>+'17'!V36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+'17'!T37</f>
        <v>0</v>
      </c>
      <c r="F37" s="19">
        <f>+'17'!U37</f>
        <v>0</v>
      </c>
      <c r="G37" s="17">
        <f>+'17'!V37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108</v>
      </c>
      <c r="F39" s="5"/>
      <c r="G39" s="22">
        <f>+SUM(G7:G38)/2</f>
        <v>44.721666666666664</v>
      </c>
      <c r="H39" s="5">
        <f>+SUM(H7:H38)/2</f>
        <v>0</v>
      </c>
      <c r="I39" s="5"/>
      <c r="J39" s="22">
        <f>+SUM(J7:J38)/2</f>
        <v>0</v>
      </c>
      <c r="K39" s="5">
        <f>+SUM(K7:K38)/2</f>
        <v>108</v>
      </c>
      <c r="L39" s="5"/>
      <c r="M39" s="22">
        <f t="shared" ref="M39:T39" si="43">+SUM(M7:M38)/2</f>
        <v>44.721666666666664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1</v>
      </c>
      <c r="S39" s="22">
        <f t="shared" si="43"/>
        <v>0.36249999999999999</v>
      </c>
      <c r="T39" s="5">
        <f t="shared" si="43"/>
        <v>107</v>
      </c>
      <c r="U39" s="5"/>
      <c r="V39" s="22">
        <f>+SUM(V7:V38)/2</f>
        <v>44.359166666666667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965F-1831-4DBE-8E51-BCD32D754C00}">
  <sheetPr>
    <tabColor rgb="FF00B0F0"/>
  </sheetPr>
  <dimension ref="A2:AC47"/>
  <sheetViews>
    <sheetView view="pageBreakPreview" zoomScale="90" zoomScaleNormal="100" zoomScaleSheetLayoutView="90" workbookViewId="0">
      <pane xSplit="2" ySplit="7" topLeftCell="J8" activePane="bottomRight" state="frozen"/>
      <selection activeCell="K14" sqref="K14"/>
      <selection pane="topRight" activeCell="K14" sqref="K14"/>
      <selection pane="bottomLeft" activeCell="K14" sqref="K14"/>
      <selection pane="bottomRight" activeCell="R21" sqref="R21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5546875" style="1" customWidth="1"/>
    <col min="25" max="25" width="7.5546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+'18'!T4+1</f>
        <v>45857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+'18'!T8</f>
        <v>-20</v>
      </c>
      <c r="F8" s="19">
        <f>+'18'!U8</f>
        <v>0.36249999999999999</v>
      </c>
      <c r="G8" s="17">
        <f>+'18'!V8</f>
        <v>-7.25</v>
      </c>
      <c r="H8" s="17"/>
      <c r="I8" s="18"/>
      <c r="J8" s="18">
        <f>+H8*I8</f>
        <v>0</v>
      </c>
      <c r="K8" s="16">
        <f t="shared" ref="K8:K14" si="0">+E8+H8</f>
        <v>-20</v>
      </c>
      <c r="L8" s="19">
        <f t="shared" ref="L8:L14" si="1">IF(K8=0,,M8/K8)</f>
        <v>0.36249999999999999</v>
      </c>
      <c r="M8" s="19">
        <f t="shared" ref="M8:M14" si="2">+J8+G8</f>
        <v>-7.25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-20</v>
      </c>
      <c r="U8" s="18">
        <f t="shared" ref="U8:U14" si="5">IF(T8=0,,V8/T8)</f>
        <v>0.36249999999999999</v>
      </c>
      <c r="V8" s="18">
        <f t="shared" ref="V8:V14" si="6">+T8*L8</f>
        <v>-7.25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+Y8+'18'!AA8</f>
        <v>21</v>
      </c>
      <c r="AB8" s="30">
        <f>+Z8+'18'!AB8</f>
        <v>21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+'18'!T9</f>
        <v>18</v>
      </c>
      <c r="F9" s="19">
        <f>+'18'!U9</f>
        <v>0.36249999999999999</v>
      </c>
      <c r="G9" s="17">
        <f>+'18'!V9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+Y9+'18'!AA9</f>
        <v>0</v>
      </c>
      <c r="AB9" s="30">
        <f>+Z9+'18'!AB9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+'18'!T10</f>
        <v>8</v>
      </c>
      <c r="F10" s="19">
        <f>+'18'!U10</f>
        <v>0.36249999999999999</v>
      </c>
      <c r="G10" s="17">
        <f>+'18'!V10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+Y10+'18'!AA10</f>
        <v>3</v>
      </c>
      <c r="AB10" s="30">
        <f>+Z10+'18'!AB10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+'18'!T11</f>
        <v>0</v>
      </c>
      <c r="F11" s="19">
        <f>+'18'!U11</f>
        <v>0</v>
      </c>
      <c r="G11" s="17">
        <f>+'18'!V11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+Y11+'18'!AA11</f>
        <v>2</v>
      </c>
      <c r="AB11" s="30">
        <f>+Z11+'18'!AB11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+'18'!T12</f>
        <v>10</v>
      </c>
      <c r="F12" s="19">
        <f>+'18'!U12</f>
        <v>0.36249999999999993</v>
      </c>
      <c r="G12" s="17">
        <f>+'18'!V12</f>
        <v>3.6249999999999991</v>
      </c>
      <c r="H12" s="17"/>
      <c r="I12" s="18"/>
      <c r="J12" s="18">
        <f t="shared" si="11"/>
        <v>0</v>
      </c>
      <c r="K12" s="16">
        <f t="shared" si="0"/>
        <v>10</v>
      </c>
      <c r="L12" s="19">
        <f t="shared" si="1"/>
        <v>0.36249999999999993</v>
      </c>
      <c r="M12" s="19">
        <f t="shared" si="2"/>
        <v>3.6249999999999991</v>
      </c>
      <c r="N12" s="17"/>
      <c r="O12" s="18">
        <f t="shared" si="9"/>
        <v>0</v>
      </c>
      <c r="P12" s="17"/>
      <c r="Q12" s="18">
        <f t="shared" si="10"/>
        <v>0</v>
      </c>
      <c r="R12" s="17">
        <v>1</v>
      </c>
      <c r="S12" s="18">
        <f t="shared" si="3"/>
        <v>0.36249999999999993</v>
      </c>
      <c r="T12" s="17">
        <f t="shared" si="4"/>
        <v>9</v>
      </c>
      <c r="U12" s="18">
        <f t="shared" si="5"/>
        <v>0.36249999999999993</v>
      </c>
      <c r="V12" s="18">
        <f t="shared" si="6"/>
        <v>3.2624999999999993</v>
      </c>
      <c r="W12" s="1" t="str">
        <f>+$B$12</f>
        <v>Schweppes Soda Water 330ml (24cans)</v>
      </c>
      <c r="Y12" s="2">
        <f>+$R$12</f>
        <v>1</v>
      </c>
      <c r="Z12" s="26">
        <f t="shared" si="7"/>
        <v>1</v>
      </c>
      <c r="AA12" s="35">
        <f>+Y12+'18'!AA12</f>
        <v>5</v>
      </c>
      <c r="AB12" s="30">
        <f>+Z12+'18'!AB12</f>
        <v>5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+'18'!T13</f>
        <v>17</v>
      </c>
      <c r="F13" s="19">
        <f>+'18'!U13</f>
        <v>0.36249999999999999</v>
      </c>
      <c r="G13" s="17">
        <f>+'18'!V13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+Y13+'18'!AA13</f>
        <v>2</v>
      </c>
      <c r="AB13" s="30">
        <f>+Z13+'18'!AB13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+'18'!T14</f>
        <v>16</v>
      </c>
      <c r="F14" s="19">
        <f>+'18'!U14</f>
        <v>0.36249999999999999</v>
      </c>
      <c r="G14" s="17">
        <f>+'18'!V14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+Y14+'18'!AA14</f>
        <v>4</v>
      </c>
      <c r="AB14" s="30">
        <f>+Z14+'18'!AB14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49</v>
      </c>
      <c r="F15" s="5"/>
      <c r="G15" s="22">
        <f>+SUM(G8:G14)</f>
        <v>17.762499999999999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49</v>
      </c>
      <c r="L15" s="5"/>
      <c r="M15" s="22">
        <f t="shared" ref="M15:T15" si="13">+SUM(M8:M14)</f>
        <v>17.762499999999999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1</v>
      </c>
      <c r="S15" s="22">
        <f t="shared" si="13"/>
        <v>0.36249999999999993</v>
      </c>
      <c r="T15" s="5">
        <f t="shared" si="13"/>
        <v>48</v>
      </c>
      <c r="U15" s="5"/>
      <c r="V15" s="22">
        <f t="shared" ref="V15" si="14">+SUM(V8:V14)</f>
        <v>17.399999999999999</v>
      </c>
      <c r="W15" s="1" t="str">
        <f>+$B$17</f>
        <v>Dasani 500ml (24 Btl)</v>
      </c>
      <c r="Y15" s="2">
        <f>+$R$17</f>
        <v>1</v>
      </c>
      <c r="Z15" s="26">
        <f>+Y15*0.5</f>
        <v>0.5</v>
      </c>
      <c r="AA15" s="35">
        <f>+Y15+'18'!AA15</f>
        <v>21</v>
      </c>
      <c r="AB15" s="30">
        <f>+Z15+'18'!AB15</f>
        <v>10.5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+Y16+'18'!AA16</f>
        <v>8</v>
      </c>
      <c r="AB16" s="30">
        <f>+Z16+'18'!AB16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+'18'!T17</f>
        <v>14</v>
      </c>
      <c r="F17" s="19">
        <f>+'18'!U17</f>
        <v>0.14833333333333334</v>
      </c>
      <c r="G17" s="19">
        <f>+'18'!V17</f>
        <v>2.0766666666666667</v>
      </c>
      <c r="H17" s="17"/>
      <c r="I17" s="18"/>
      <c r="J17" s="18">
        <f t="shared" ref="J17" si="15">+H17*I17</f>
        <v>0</v>
      </c>
      <c r="K17" s="16">
        <f>+E17+H17</f>
        <v>14</v>
      </c>
      <c r="L17" s="19">
        <f t="shared" ref="L17" si="16">IF(K17=0,,M17/K17)</f>
        <v>0.14833333333333334</v>
      </c>
      <c r="M17" s="19">
        <f>+J17+G17</f>
        <v>2.0766666666666667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1</v>
      </c>
      <c r="S17" s="18">
        <f t="shared" ref="S17" si="19">+R17*L17</f>
        <v>0.14833333333333334</v>
      </c>
      <c r="T17" s="17">
        <f t="shared" ref="T17" si="20">+K17-N17-P17-R17</f>
        <v>13</v>
      </c>
      <c r="U17" s="18">
        <f t="shared" ref="U17" si="21">IF(T17=0,,V17/T17)</f>
        <v>0.14833333333333334</v>
      </c>
      <c r="V17" s="18">
        <f t="shared" ref="V17" si="22">+T17*L17</f>
        <v>1.9283333333333335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+Y17+'18'!AA17</f>
        <v>9</v>
      </c>
      <c r="AB17" s="30">
        <f>+Z17+'18'!AB17</f>
        <v>11.25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14</v>
      </c>
      <c r="F18" s="5"/>
      <c r="G18" s="22">
        <f>+G17</f>
        <v>2.0766666666666667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14</v>
      </c>
      <c r="L18" s="5"/>
      <c r="M18" s="22">
        <f t="shared" ref="M18:T18" si="25">+M17</f>
        <v>2.0766666666666667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1</v>
      </c>
      <c r="S18" s="22">
        <f t="shared" si="25"/>
        <v>0.14833333333333334</v>
      </c>
      <c r="T18" s="5">
        <f t="shared" si="25"/>
        <v>13</v>
      </c>
      <c r="U18" s="5"/>
      <c r="V18" s="22">
        <f t="shared" ref="V18" si="26">+V17</f>
        <v>1.9283333333333335</v>
      </c>
      <c r="Y18" s="34">
        <f>+$R$22</f>
        <v>0</v>
      </c>
      <c r="Z18" s="26">
        <f t="shared" si="7"/>
        <v>0</v>
      </c>
      <c r="AA18" s="35">
        <f>+Y18+'18'!AA18</f>
        <v>0</v>
      </c>
      <c r="AB18" s="30">
        <f>+Z18+'18'!AB18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+Y19+'18'!AA19</f>
        <v>0</v>
      </c>
      <c r="AB19" s="30">
        <f>+Z19+'18'!AB19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+'18'!T20</f>
        <v>24</v>
      </c>
      <c r="F20" s="19">
        <f>+'18'!U20</f>
        <v>0.48</v>
      </c>
      <c r="G20" s="17">
        <f>+'18'!V20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2</v>
      </c>
      <c r="Z20" s="31">
        <f>+SUM(Z8:Z19)</f>
        <v>1.5</v>
      </c>
      <c r="AA20" s="28">
        <f>+SUM(AA8:AA19)</f>
        <v>75</v>
      </c>
      <c r="AB20" s="31">
        <f>+SUM(AB8:AB19)</f>
        <v>68.75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+'18'!T21</f>
        <v>20</v>
      </c>
      <c r="F21" s="19">
        <f>+'18'!U21</f>
        <v>0.65000000000000013</v>
      </c>
      <c r="G21" s="17">
        <f>+'18'!V21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20</v>
      </c>
      <c r="U21" s="18">
        <f t="shared" si="35"/>
        <v>0.65000000000000013</v>
      </c>
      <c r="V21" s="18">
        <f t="shared" si="36"/>
        <v>13.000000000000004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+'18'!T22</f>
        <v>0</v>
      </c>
      <c r="F22" s="19">
        <f>+'18'!U22</f>
        <v>0</v>
      </c>
      <c r="G22" s="17">
        <f>+'18'!V22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+'18'!T23</f>
        <v>0</v>
      </c>
      <c r="F23" s="19">
        <f>+'18'!U23</f>
        <v>0</v>
      </c>
      <c r="G23" s="17">
        <f>+'18'!V23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+'18'!T24</f>
        <v>0</v>
      </c>
      <c r="F24" s="19">
        <f>+'18'!U24</f>
        <v>0</v>
      </c>
      <c r="G24" s="17">
        <f>+'18'!V24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+'18'!T25</f>
        <v>0</v>
      </c>
      <c r="F25" s="19">
        <f>+'18'!U25</f>
        <v>0</v>
      </c>
      <c r="G25" s="17">
        <f>+'18'!V25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+'18'!T26</f>
        <v>0</v>
      </c>
      <c r="F26" s="19">
        <f>+'18'!U26</f>
        <v>0</v>
      </c>
      <c r="G26" s="17">
        <f>+'18'!V26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+'18'!T27</f>
        <v>0</v>
      </c>
      <c r="F27" s="19">
        <f>+'18'!U27</f>
        <v>0</v>
      </c>
      <c r="G27" s="17">
        <f>+'18'!V27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+'18'!T28</f>
        <v>0</v>
      </c>
      <c r="F28" s="19">
        <f>+'18'!U28</f>
        <v>0</v>
      </c>
      <c r="G28" s="17">
        <f>+'18'!V28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+'18'!T29</f>
        <v>0</v>
      </c>
      <c r="F29" s="19">
        <f>+'18'!U29</f>
        <v>0</v>
      </c>
      <c r="G29" s="17">
        <f>+'18'!V29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+'18'!T30</f>
        <v>0</v>
      </c>
      <c r="F30" s="19">
        <f>+'18'!U30</f>
        <v>0</v>
      </c>
      <c r="G30" s="17">
        <f>+'18'!V30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+'18'!T31</f>
        <v>0</v>
      </c>
      <c r="F31" s="19">
        <f>+'18'!U31</f>
        <v>0</v>
      </c>
      <c r="G31" s="17">
        <f>+'18'!V31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+'18'!T32</f>
        <v>0</v>
      </c>
      <c r="F32" s="19">
        <f>+'18'!U32</f>
        <v>0</v>
      </c>
      <c r="G32" s="17">
        <f>+'18'!V32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+'18'!T33</f>
        <v>0</v>
      </c>
      <c r="F33" s="19">
        <f>+'18'!U33</f>
        <v>0</v>
      </c>
      <c r="G33" s="17">
        <f>+'18'!V33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+'18'!T34</f>
        <v>0</v>
      </c>
      <c r="F34" s="19">
        <f>+'18'!U34</f>
        <v>0</v>
      </c>
      <c r="G34" s="17">
        <f>+'18'!V34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+'18'!T35</f>
        <v>0</v>
      </c>
      <c r="F35" s="19">
        <f>+'18'!U35</f>
        <v>0</v>
      </c>
      <c r="G35" s="17">
        <f>+'18'!V35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+'18'!T36</f>
        <v>0</v>
      </c>
      <c r="F36" s="19">
        <f>+'18'!U36</f>
        <v>0</v>
      </c>
      <c r="G36" s="17">
        <f>+'18'!V36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+'18'!T37</f>
        <v>0</v>
      </c>
      <c r="F37" s="19">
        <f>+'18'!U37</f>
        <v>0</v>
      </c>
      <c r="G37" s="17">
        <f>+'18'!V37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44</v>
      </c>
      <c r="U38" s="5"/>
      <c r="V38" s="22">
        <f t="shared" ref="V38" si="42">+SUM(V20:V37)</f>
        <v>24.520000000000003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107</v>
      </c>
      <c r="F39" s="5"/>
      <c r="G39" s="22">
        <f>+SUM(G7:G38)/2</f>
        <v>44.359166666666667</v>
      </c>
      <c r="H39" s="5">
        <f>+SUM(H7:H38)/2</f>
        <v>0</v>
      </c>
      <c r="I39" s="5"/>
      <c r="J39" s="22">
        <f>+SUM(J7:J38)/2</f>
        <v>0</v>
      </c>
      <c r="K39" s="5">
        <f>+SUM(K7:K38)/2</f>
        <v>107</v>
      </c>
      <c r="L39" s="5"/>
      <c r="M39" s="22">
        <f t="shared" ref="M39:T39" si="43">+SUM(M7:M38)/2</f>
        <v>44.359166666666667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0.51083333333333325</v>
      </c>
      <c r="T39" s="5">
        <f t="shared" si="43"/>
        <v>105</v>
      </c>
      <c r="U39" s="5"/>
      <c r="V39" s="22">
        <f>+SUM(V7:V38)/2</f>
        <v>43.848333333333329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A57D-118A-4A03-A367-023868603E32}">
  <sheetPr>
    <tabColor rgb="FF00B0F0"/>
  </sheetPr>
  <dimension ref="A2:AC47"/>
  <sheetViews>
    <sheetView view="pageBreakPreview" zoomScale="90" zoomScaleNormal="100" zoomScaleSheetLayoutView="90" workbookViewId="0">
      <pane xSplit="2" ySplit="7" topLeftCell="K8" activePane="bottomRight" state="frozen"/>
      <selection activeCell="K14" sqref="K14"/>
      <selection pane="topRight" activeCell="K14" sqref="K14"/>
      <selection pane="bottomLeft" activeCell="K14" sqref="K14"/>
      <selection pane="bottomRight" activeCell="X46" sqref="X46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5.5546875" style="1" customWidth="1"/>
    <col min="25" max="25" width="4.332031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+'19'!T4+1</f>
        <v>45858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+'19'!T8</f>
        <v>-20</v>
      </c>
      <c r="F8" s="19">
        <f>+'19'!U8</f>
        <v>0.36249999999999999</v>
      </c>
      <c r="G8" s="17">
        <f>+'19'!V8</f>
        <v>-7.25</v>
      </c>
      <c r="H8" s="17"/>
      <c r="I8" s="18"/>
      <c r="J8" s="18">
        <f>+H8*I8</f>
        <v>0</v>
      </c>
      <c r="K8" s="16">
        <f t="shared" ref="K8:K14" si="0">+E8+H8</f>
        <v>-20</v>
      </c>
      <c r="L8" s="19">
        <f t="shared" ref="L8:L14" si="1">IF(K8=0,,M8/K8)</f>
        <v>0.36249999999999999</v>
      </c>
      <c r="M8" s="19">
        <f t="shared" ref="M8:M14" si="2">+J8+G8</f>
        <v>-7.25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-20</v>
      </c>
      <c r="U8" s="18">
        <f t="shared" ref="U8:U14" si="5">IF(T8=0,,V8/T8)</f>
        <v>0.36249999999999999</v>
      </c>
      <c r="V8" s="18">
        <f t="shared" ref="V8:V14" si="6">+T8*L8</f>
        <v>-7.25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+Y8+'19'!AA8</f>
        <v>21</v>
      </c>
      <c r="AB8" s="30">
        <f>+Z8+'19'!AB8</f>
        <v>21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+'19'!T9</f>
        <v>18</v>
      </c>
      <c r="F9" s="19">
        <f>+'19'!U9</f>
        <v>0.36249999999999999</v>
      </c>
      <c r="G9" s="17">
        <f>+'19'!V9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+Y9+'19'!AA9</f>
        <v>0</v>
      </c>
      <c r="AB9" s="30">
        <f>+Z9+'19'!AB9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+'19'!T10</f>
        <v>8</v>
      </c>
      <c r="F10" s="19">
        <f>+'19'!U10</f>
        <v>0.36249999999999999</v>
      </c>
      <c r="G10" s="17">
        <f>+'19'!V10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+Y10+'19'!AA10</f>
        <v>3</v>
      </c>
      <c r="AB10" s="30">
        <f>+Z10+'19'!AB10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+'19'!T11</f>
        <v>0</v>
      </c>
      <c r="F11" s="19">
        <f>+'19'!U11</f>
        <v>0</v>
      </c>
      <c r="G11" s="17">
        <f>+'19'!V11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+Y11+'19'!AA11</f>
        <v>2</v>
      </c>
      <c r="AB11" s="30">
        <f>+Z11+'19'!AB11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+'19'!T12</f>
        <v>9</v>
      </c>
      <c r="F12" s="19">
        <f>+'19'!U12</f>
        <v>0.36249999999999993</v>
      </c>
      <c r="G12" s="17">
        <f>+'19'!V12</f>
        <v>3.2624999999999993</v>
      </c>
      <c r="H12" s="17"/>
      <c r="I12" s="18"/>
      <c r="J12" s="18">
        <f t="shared" si="11"/>
        <v>0</v>
      </c>
      <c r="K12" s="16">
        <f t="shared" si="0"/>
        <v>9</v>
      </c>
      <c r="L12" s="19">
        <f t="shared" si="1"/>
        <v>0.36249999999999993</v>
      </c>
      <c r="M12" s="19">
        <f t="shared" si="2"/>
        <v>3.2624999999999993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9</v>
      </c>
      <c r="U12" s="18">
        <f t="shared" si="5"/>
        <v>0.36249999999999993</v>
      </c>
      <c r="V12" s="18">
        <f t="shared" si="6"/>
        <v>3.2624999999999993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+Y12+'19'!AA12</f>
        <v>5</v>
      </c>
      <c r="AB12" s="30">
        <f>+Z12+'19'!AB12</f>
        <v>5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+'19'!T13</f>
        <v>17</v>
      </c>
      <c r="F13" s="19">
        <f>+'19'!U13</f>
        <v>0.36249999999999999</v>
      </c>
      <c r="G13" s="17">
        <f>+'19'!V13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+Y13+'19'!AA13</f>
        <v>2</v>
      </c>
      <c r="AB13" s="30">
        <f>+Z13+'19'!AB13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+'19'!T14</f>
        <v>16</v>
      </c>
      <c r="F14" s="19">
        <f>+'19'!U14</f>
        <v>0.36249999999999999</v>
      </c>
      <c r="G14" s="17">
        <f>+'19'!V14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+Y14+'19'!AA14</f>
        <v>4</v>
      </c>
      <c r="AB14" s="30">
        <f>+Z14+'19'!AB14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48</v>
      </c>
      <c r="F15" s="5"/>
      <c r="G15" s="22">
        <f>+SUM(G8:G14)</f>
        <v>17.399999999999999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48</v>
      </c>
      <c r="L15" s="5"/>
      <c r="M15" s="22">
        <f t="shared" ref="M15:T15" si="13">+SUM(M8:M14)</f>
        <v>17.399999999999999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48</v>
      </c>
      <c r="U15" s="5"/>
      <c r="V15" s="22">
        <f t="shared" ref="V15" si="14">+SUM(V8:V14)</f>
        <v>17.399999999999999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+Y15+'19'!AA15</f>
        <v>21</v>
      </c>
      <c r="AB15" s="30">
        <f>+Z15+'19'!AB15</f>
        <v>10.5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+Y16+'19'!AA16</f>
        <v>8</v>
      </c>
      <c r="AB16" s="30">
        <f>+Z16+'19'!AB16</f>
        <v>10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+'19'!T17</f>
        <v>13</v>
      </c>
      <c r="F17" s="19">
        <f>+'19'!U17</f>
        <v>0.14833333333333334</v>
      </c>
      <c r="G17" s="19">
        <f>+'19'!V17</f>
        <v>1.9283333333333335</v>
      </c>
      <c r="H17" s="17"/>
      <c r="I17" s="18"/>
      <c r="J17" s="18">
        <f t="shared" ref="J17" si="15">+H17*I17</f>
        <v>0</v>
      </c>
      <c r="K17" s="16">
        <f>+E17+H17</f>
        <v>13</v>
      </c>
      <c r="L17" s="19">
        <f t="shared" ref="L17" si="16">IF(K17=0,,M17/K17)</f>
        <v>0.14833333333333334</v>
      </c>
      <c r="M17" s="19">
        <f>+J17+G17</f>
        <v>1.9283333333333335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</v>
      </c>
      <c r="U17" s="18">
        <f t="shared" ref="U17" si="21">IF(T17=0,,V17/T17)</f>
        <v>0.14833333333333334</v>
      </c>
      <c r="V17" s="18">
        <f t="shared" ref="V17" si="22">+T17*L17</f>
        <v>1.9283333333333335</v>
      </c>
      <c r="W17" s="1" t="str">
        <f>+$B$21</f>
        <v>Heineken 330ml CAN</v>
      </c>
      <c r="Y17" s="34">
        <f>+$R$21</f>
        <v>2</v>
      </c>
      <c r="Z17" s="26">
        <f>+Y17*1.25</f>
        <v>2.5</v>
      </c>
      <c r="AA17" s="35">
        <f>+Y17+'19'!AA17</f>
        <v>11</v>
      </c>
      <c r="AB17" s="30">
        <f>+Z17+'19'!AB17</f>
        <v>13.75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</v>
      </c>
      <c r="F18" s="5"/>
      <c r="G18" s="22">
        <f>+G17</f>
        <v>1.9283333333333335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</v>
      </c>
      <c r="L18" s="5"/>
      <c r="M18" s="22">
        <f t="shared" ref="M18:T18" si="25">+M17</f>
        <v>1.9283333333333335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</v>
      </c>
      <c r="U18" s="5"/>
      <c r="V18" s="22">
        <f t="shared" ref="V18" si="26">+V17</f>
        <v>1.9283333333333335</v>
      </c>
      <c r="Y18" s="34">
        <f>+$R$22</f>
        <v>0</v>
      </c>
      <c r="Z18" s="26">
        <f t="shared" si="7"/>
        <v>0</v>
      </c>
      <c r="AA18" s="35">
        <f>+Y18+'19'!AA18</f>
        <v>0</v>
      </c>
      <c r="AB18" s="30">
        <f>+Z18+'19'!AB18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+Y19+'19'!AA19</f>
        <v>0</v>
      </c>
      <c r="AB19" s="30">
        <f>+Z19+'19'!AB19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+'19'!T20</f>
        <v>24</v>
      </c>
      <c r="F20" s="19">
        <f>+'19'!U20</f>
        <v>0.48</v>
      </c>
      <c r="G20" s="17">
        <f>+'19'!V20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2</v>
      </c>
      <c r="Z20" s="31">
        <f>+SUM(Z8:Z19)</f>
        <v>2.5</v>
      </c>
      <c r="AA20" s="28">
        <f>+SUM(AA8:AA19)</f>
        <v>77</v>
      </c>
      <c r="AB20" s="31">
        <f>+SUM(AB8:AB19)</f>
        <v>71.25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+'19'!T21</f>
        <v>20</v>
      </c>
      <c r="F21" s="19">
        <f>+'19'!U21</f>
        <v>0.65000000000000013</v>
      </c>
      <c r="G21" s="17">
        <f>+'19'!V21</f>
        <v>13.000000000000004</v>
      </c>
      <c r="H21" s="17"/>
      <c r="I21" s="18"/>
      <c r="J21" s="18">
        <f t="shared" si="28"/>
        <v>0</v>
      </c>
      <c r="K21" s="16">
        <f t="shared" si="29"/>
        <v>20</v>
      </c>
      <c r="L21" s="19">
        <f t="shared" si="30"/>
        <v>0.65000000000000013</v>
      </c>
      <c r="M21" s="19">
        <f t="shared" si="31"/>
        <v>13.000000000000004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>
        <v>2</v>
      </c>
      <c r="S21" s="18">
        <f t="shared" si="33"/>
        <v>1.3000000000000003</v>
      </c>
      <c r="T21" s="17">
        <f t="shared" si="34"/>
        <v>18</v>
      </c>
      <c r="U21" s="18">
        <f t="shared" si="35"/>
        <v>0.65000000000000013</v>
      </c>
      <c r="V21" s="18">
        <f t="shared" si="36"/>
        <v>11.700000000000003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+'19'!T22</f>
        <v>0</v>
      </c>
      <c r="F22" s="19">
        <f>+'19'!U22</f>
        <v>0</v>
      </c>
      <c r="G22" s="17">
        <f>+'19'!V22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+'19'!T23</f>
        <v>0</v>
      </c>
      <c r="F23" s="19">
        <f>+'19'!U23</f>
        <v>0</v>
      </c>
      <c r="G23" s="17">
        <f>+'19'!V23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+'19'!T24</f>
        <v>0</v>
      </c>
      <c r="F24" s="19">
        <f>+'19'!U24</f>
        <v>0</v>
      </c>
      <c r="G24" s="17">
        <f>+'19'!V24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+'19'!T25</f>
        <v>0</v>
      </c>
      <c r="F25" s="19">
        <f>+'19'!U25</f>
        <v>0</v>
      </c>
      <c r="G25" s="17">
        <f>+'19'!V25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+'19'!T26</f>
        <v>0</v>
      </c>
      <c r="F26" s="19">
        <f>+'19'!U26</f>
        <v>0</v>
      </c>
      <c r="G26" s="17">
        <f>+'19'!V26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+'19'!T27</f>
        <v>0</v>
      </c>
      <c r="F27" s="19">
        <f>+'19'!U27</f>
        <v>0</v>
      </c>
      <c r="G27" s="17">
        <f>+'19'!V27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+'19'!T28</f>
        <v>0</v>
      </c>
      <c r="F28" s="19">
        <f>+'19'!U28</f>
        <v>0</v>
      </c>
      <c r="G28" s="17">
        <f>+'19'!V28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+'19'!T29</f>
        <v>0</v>
      </c>
      <c r="F29" s="19">
        <f>+'19'!U29</f>
        <v>0</v>
      </c>
      <c r="G29" s="17">
        <f>+'19'!V29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+'19'!T30</f>
        <v>0</v>
      </c>
      <c r="F30" s="19">
        <f>+'19'!U30</f>
        <v>0</v>
      </c>
      <c r="G30" s="17">
        <f>+'19'!V30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+'19'!T31</f>
        <v>0</v>
      </c>
      <c r="F31" s="19">
        <f>+'19'!U31</f>
        <v>0</v>
      </c>
      <c r="G31" s="17">
        <f>+'19'!V31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+'19'!T32</f>
        <v>0</v>
      </c>
      <c r="F32" s="19">
        <f>+'19'!U32</f>
        <v>0</v>
      </c>
      <c r="G32" s="17">
        <f>+'19'!V32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+'19'!T33</f>
        <v>0</v>
      </c>
      <c r="F33" s="19">
        <f>+'19'!U33</f>
        <v>0</v>
      </c>
      <c r="G33" s="17">
        <f>+'19'!V33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+'19'!T34</f>
        <v>0</v>
      </c>
      <c r="F34" s="19">
        <f>+'19'!U34</f>
        <v>0</v>
      </c>
      <c r="G34" s="17">
        <f>+'19'!V34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+'19'!T35</f>
        <v>0</v>
      </c>
      <c r="F35" s="19">
        <f>+'19'!U35</f>
        <v>0</v>
      </c>
      <c r="G35" s="17">
        <f>+'19'!V35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+'19'!T36</f>
        <v>0</v>
      </c>
      <c r="F36" s="19">
        <f>+'19'!U36</f>
        <v>0</v>
      </c>
      <c r="G36" s="17">
        <f>+'19'!V36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+'19'!T37</f>
        <v>0</v>
      </c>
      <c r="F37" s="19">
        <f>+'19'!U37</f>
        <v>0</v>
      </c>
      <c r="G37" s="17">
        <f>+'19'!V37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44</v>
      </c>
      <c r="F38" s="5"/>
      <c r="G38" s="22">
        <f>+SUM(G20:G37)</f>
        <v>24.520000000000003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44</v>
      </c>
      <c r="L38" s="5"/>
      <c r="M38" s="22">
        <f t="shared" ref="M38:T38" si="41">+SUM(M20:M37)</f>
        <v>24.520000000000003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2</v>
      </c>
      <c r="S38" s="22">
        <f t="shared" si="41"/>
        <v>1.3000000000000003</v>
      </c>
      <c r="T38" s="5">
        <f t="shared" si="41"/>
        <v>42</v>
      </c>
      <c r="U38" s="5"/>
      <c r="V38" s="22">
        <f t="shared" ref="V38" si="42">+SUM(V20:V37)</f>
        <v>23.220000000000002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105</v>
      </c>
      <c r="F39" s="5"/>
      <c r="G39" s="22">
        <f>+SUM(G7:G38)/2</f>
        <v>43.848333333333329</v>
      </c>
      <c r="H39" s="5">
        <f>+SUM(H7:H38)/2</f>
        <v>0</v>
      </c>
      <c r="I39" s="5"/>
      <c r="J39" s="22">
        <f>+SUM(J7:J38)/2</f>
        <v>0</v>
      </c>
      <c r="K39" s="5">
        <f>+SUM(K7:K38)/2</f>
        <v>105</v>
      </c>
      <c r="L39" s="5"/>
      <c r="M39" s="22">
        <f t="shared" ref="M39:T39" si="43">+SUM(M7:M38)/2</f>
        <v>43.848333333333329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1.3000000000000003</v>
      </c>
      <c r="T39" s="5">
        <f t="shared" si="43"/>
        <v>103</v>
      </c>
      <c r="U39" s="5"/>
      <c r="V39" s="22">
        <f>+SUM(V7:V38)/2</f>
        <v>42.548333333333332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C63D-A30F-43FB-90A3-AAF8A4843157}">
  <dimension ref="A2:AD47"/>
  <sheetViews>
    <sheetView view="pageBreakPreview" zoomScale="90" zoomScaleNormal="100" zoomScaleSheetLayoutView="90" workbookViewId="0">
      <pane xSplit="2" ySplit="7" topLeftCell="L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36" style="1" hidden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6640625" style="1" customWidth="1"/>
    <col min="25" max="25" width="5.88671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30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30" ht="21" x14ac:dyDescent="0.4">
      <c r="S4" s="4" t="s">
        <v>37</v>
      </c>
      <c r="T4" s="85">
        <f>+'20'!T4+1</f>
        <v>45859</v>
      </c>
      <c r="U4" s="85"/>
      <c r="V4" s="85"/>
      <c r="W4" s="82" t="s">
        <v>56</v>
      </c>
      <c r="X4" s="82"/>
      <c r="Y4" s="82"/>
      <c r="Z4" s="82"/>
      <c r="AA4" s="82"/>
      <c r="AB4" s="82"/>
    </row>
    <row r="5" spans="1:30" s="6" customFormat="1" ht="15" customHeight="1" x14ac:dyDescent="0.3">
      <c r="A5" s="76" t="s">
        <v>0</v>
      </c>
      <c r="B5" s="5" t="s">
        <v>1</v>
      </c>
      <c r="C5" s="5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30" s="6" customFormat="1" ht="24.75" customHeight="1" x14ac:dyDescent="0.3">
      <c r="A6" s="76"/>
      <c r="B6" s="5" t="s">
        <v>2</v>
      </c>
      <c r="C6" s="5"/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30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30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+'20'!T8</f>
        <v>-20</v>
      </c>
      <c r="F8" s="19">
        <f>+'20'!U8</f>
        <v>0.36249999999999999</v>
      </c>
      <c r="G8" s="20">
        <f>+'20'!V8</f>
        <v>-7.25</v>
      </c>
      <c r="H8" s="17"/>
      <c r="I8" s="18"/>
      <c r="J8" s="18">
        <f>+H8*I8</f>
        <v>0</v>
      </c>
      <c r="K8" s="16">
        <f t="shared" ref="K8:K14" si="0">+E8+H8</f>
        <v>-20</v>
      </c>
      <c r="L8" s="19">
        <f t="shared" ref="L8:L14" si="1">IF(K8=0,,M8/K8)</f>
        <v>0.36249999999999999</v>
      </c>
      <c r="M8" s="19">
        <f t="shared" ref="M8:M14" si="2">+J8+G8</f>
        <v>-7.25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-20</v>
      </c>
      <c r="U8" s="18">
        <f t="shared" ref="U8:U14" si="5">IF(T8=0,,V8/T8)</f>
        <v>0.36249999999999999</v>
      </c>
      <c r="V8" s="18">
        <f t="shared" ref="V8:V14" si="6">+T8*L8</f>
        <v>-7.25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+Y8+'20'!AA8</f>
        <v>21</v>
      </c>
      <c r="AB8" s="29">
        <f>+Z8+'20'!AB8</f>
        <v>21</v>
      </c>
      <c r="AC8" s="27"/>
      <c r="AD8" s="27"/>
    </row>
    <row r="9" spans="1:30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+'20'!T9</f>
        <v>18</v>
      </c>
      <c r="F9" s="19">
        <f>+'20'!U9</f>
        <v>0.36249999999999999</v>
      </c>
      <c r="G9" s="20">
        <f>+'20'!V9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+Y9+'20'!AA9</f>
        <v>0</v>
      </c>
      <c r="AB9" s="29">
        <f>+Z9+'20'!AB9</f>
        <v>0</v>
      </c>
      <c r="AC9" s="27"/>
      <c r="AD9" s="27"/>
    </row>
    <row r="10" spans="1:30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+'20'!T10</f>
        <v>8</v>
      </c>
      <c r="F10" s="19">
        <f>+'20'!U10</f>
        <v>0.36249999999999999</v>
      </c>
      <c r="G10" s="20">
        <f>+'20'!V10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+Y10+'20'!AA10</f>
        <v>3</v>
      </c>
      <c r="AB10" s="29">
        <f>+Z10+'20'!AB10</f>
        <v>3</v>
      </c>
      <c r="AC10" s="27"/>
      <c r="AD10" s="27"/>
    </row>
    <row r="11" spans="1:30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+'20'!T11</f>
        <v>0</v>
      </c>
      <c r="F11" s="19">
        <f>+'20'!U11</f>
        <v>0</v>
      </c>
      <c r="G11" s="20">
        <f>+'20'!V11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+Y11+'20'!AA11</f>
        <v>2</v>
      </c>
      <c r="AB11" s="29">
        <f>+Z11+'20'!AB11</f>
        <v>2</v>
      </c>
      <c r="AC11" s="27"/>
      <c r="AD11" s="27"/>
    </row>
    <row r="12" spans="1:30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+'20'!T12</f>
        <v>9</v>
      </c>
      <c r="F12" s="19">
        <f>+'20'!U12</f>
        <v>0.36249999999999993</v>
      </c>
      <c r="G12" s="20">
        <f>+'20'!V12</f>
        <v>3.2624999999999993</v>
      </c>
      <c r="H12" s="17"/>
      <c r="I12" s="18"/>
      <c r="J12" s="18">
        <f t="shared" si="11"/>
        <v>0</v>
      </c>
      <c r="K12" s="16">
        <f t="shared" si="0"/>
        <v>9</v>
      </c>
      <c r="L12" s="19">
        <f t="shared" si="1"/>
        <v>0.36249999999999993</v>
      </c>
      <c r="M12" s="19">
        <f t="shared" si="2"/>
        <v>3.2624999999999993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9</v>
      </c>
      <c r="U12" s="18">
        <f t="shared" si="5"/>
        <v>0.36249999999999993</v>
      </c>
      <c r="V12" s="18">
        <f t="shared" si="6"/>
        <v>3.2624999999999993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+Y12+'20'!AA12</f>
        <v>5</v>
      </c>
      <c r="AB12" s="29">
        <f>+Z12+'20'!AB12</f>
        <v>5</v>
      </c>
      <c r="AC12" s="27"/>
      <c r="AD12" s="27"/>
    </row>
    <row r="13" spans="1:30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+'20'!T13</f>
        <v>17</v>
      </c>
      <c r="F13" s="19">
        <f>+'20'!U13</f>
        <v>0.36249999999999999</v>
      </c>
      <c r="G13" s="20">
        <f>+'20'!V13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+Y13+'20'!AA13</f>
        <v>2</v>
      </c>
      <c r="AB13" s="29">
        <f>+Z13+'20'!AB13</f>
        <v>2</v>
      </c>
      <c r="AC13" s="27"/>
      <c r="AD13" s="27"/>
    </row>
    <row r="14" spans="1:30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+'20'!T14</f>
        <v>16</v>
      </c>
      <c r="F14" s="19">
        <f>+'20'!U14</f>
        <v>0.36249999999999999</v>
      </c>
      <c r="G14" s="20">
        <f>+'20'!V14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+Y14+'20'!AA14</f>
        <v>4</v>
      </c>
      <c r="AB14" s="29">
        <f>+Z14+'20'!AB14</f>
        <v>4</v>
      </c>
      <c r="AC14" s="27"/>
      <c r="AD14" s="27"/>
    </row>
    <row r="15" spans="1:30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48</v>
      </c>
      <c r="F15" s="5"/>
      <c r="G15" s="22">
        <f>+SUM(G8:G14)</f>
        <v>17.399999999999999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48</v>
      </c>
      <c r="L15" s="5"/>
      <c r="M15" s="22">
        <f t="shared" ref="M15:T15" si="13">+SUM(M8:M14)</f>
        <v>17.399999999999999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48</v>
      </c>
      <c r="U15" s="5"/>
      <c r="V15" s="22">
        <f t="shared" ref="V15" si="14">+SUM(V8:V14)</f>
        <v>17.399999999999999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+Y15+'20'!AA15</f>
        <v>21</v>
      </c>
      <c r="AB15" s="29">
        <f>+Z15+'20'!AB15</f>
        <v>10.5</v>
      </c>
      <c r="AC15" s="25"/>
      <c r="AD15" s="25"/>
    </row>
    <row r="16" spans="1:30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+Y16+'20'!AA16</f>
        <v>8</v>
      </c>
      <c r="AB16" s="29">
        <f>+Z16+'20'!AB16</f>
        <v>10</v>
      </c>
      <c r="AC16" s="25"/>
      <c r="AD16" s="25"/>
    </row>
    <row r="17" spans="1:30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+'20'!T17</f>
        <v>13</v>
      </c>
      <c r="F17" s="19">
        <f>+'20'!U17</f>
        <v>0.14833333333333334</v>
      </c>
      <c r="G17" s="19">
        <f>+'20'!V17</f>
        <v>1.9283333333333335</v>
      </c>
      <c r="H17" s="17"/>
      <c r="I17" s="18"/>
      <c r="J17" s="18">
        <f t="shared" ref="J17" si="15">+H17*I17</f>
        <v>0</v>
      </c>
      <c r="K17" s="16">
        <f>+E17+H17</f>
        <v>13</v>
      </c>
      <c r="L17" s="19">
        <f t="shared" ref="L17" si="16">IF(K17=0,,M17/K17)</f>
        <v>0.14833333333333334</v>
      </c>
      <c r="M17" s="19">
        <f>+J17+G17</f>
        <v>1.9283333333333335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</v>
      </c>
      <c r="U17" s="18">
        <f t="shared" ref="U17" si="21">IF(T17=0,,V17/T17)</f>
        <v>0.14833333333333334</v>
      </c>
      <c r="V17" s="18">
        <f t="shared" ref="V17" si="22">+T17*L17</f>
        <v>1.9283333333333335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+Y17+'20'!AA17</f>
        <v>11</v>
      </c>
      <c r="AB17" s="29">
        <f>+Z17+'20'!AB17</f>
        <v>13.75</v>
      </c>
      <c r="AC17" s="27"/>
      <c r="AD17" s="27"/>
    </row>
    <row r="18" spans="1:30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</v>
      </c>
      <c r="F18" s="5"/>
      <c r="G18" s="22">
        <f>+G17</f>
        <v>1.9283333333333335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</v>
      </c>
      <c r="L18" s="5"/>
      <c r="M18" s="22">
        <f t="shared" ref="M18:T18" si="25">+M17</f>
        <v>1.9283333333333335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</v>
      </c>
      <c r="U18" s="5"/>
      <c r="V18" s="22">
        <f t="shared" ref="V18" si="26">+V17</f>
        <v>1.9283333333333335</v>
      </c>
      <c r="Y18" s="34">
        <f>+$R$22</f>
        <v>0</v>
      </c>
      <c r="Z18" s="26">
        <f t="shared" si="7"/>
        <v>0</v>
      </c>
      <c r="AA18" s="35">
        <f>+Y18+'20'!AA18</f>
        <v>0</v>
      </c>
      <c r="AB18" s="29">
        <f>+Z18+'20'!AB18</f>
        <v>0</v>
      </c>
      <c r="AC18" s="25"/>
      <c r="AD18" s="25"/>
    </row>
    <row r="19" spans="1:30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+Y19+'20'!AA19</f>
        <v>0</v>
      </c>
      <c r="AB19" s="29">
        <f>+Z19+'20'!AB19</f>
        <v>0</v>
      </c>
      <c r="AC19" s="25"/>
      <c r="AD19" s="25"/>
    </row>
    <row r="20" spans="1:30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+'20'!T20</f>
        <v>24</v>
      </c>
      <c r="F20" s="19">
        <f>+'20'!U20</f>
        <v>0.48</v>
      </c>
      <c r="G20" s="16">
        <f>+'20'!V20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24</v>
      </c>
      <c r="U20" s="18">
        <f t="shared" ref="U20:U37" si="35">IF(T20=0,,V20/T20)</f>
        <v>0.48</v>
      </c>
      <c r="V20" s="18">
        <f t="shared" ref="V20:V37" si="36">+T20*L20</f>
        <v>11.52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77</v>
      </c>
      <c r="AB20" s="31">
        <f>+SUM(AB8:AB19)</f>
        <v>71.25</v>
      </c>
    </row>
    <row r="21" spans="1:30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+'20'!T21</f>
        <v>18</v>
      </c>
      <c r="F21" s="19">
        <f>+'20'!U21</f>
        <v>0.65000000000000013</v>
      </c>
      <c r="G21" s="16">
        <f>+'20'!V21</f>
        <v>11.700000000000003</v>
      </c>
      <c r="H21" s="17"/>
      <c r="I21" s="18"/>
      <c r="J21" s="18">
        <f t="shared" si="28"/>
        <v>0</v>
      </c>
      <c r="K21" s="16">
        <f t="shared" si="29"/>
        <v>18</v>
      </c>
      <c r="L21" s="19">
        <f t="shared" si="30"/>
        <v>0.65000000000000013</v>
      </c>
      <c r="M21" s="19">
        <f t="shared" si="31"/>
        <v>11.700000000000003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18</v>
      </c>
      <c r="U21" s="18">
        <f t="shared" si="35"/>
        <v>0.65000000000000013</v>
      </c>
      <c r="V21" s="18">
        <f t="shared" si="36"/>
        <v>11.700000000000003</v>
      </c>
    </row>
    <row r="22" spans="1:30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+'20'!T22</f>
        <v>0</v>
      </c>
      <c r="F22" s="19">
        <f>+'20'!U22</f>
        <v>0</v>
      </c>
      <c r="G22" s="16">
        <f>+'20'!V22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30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+'20'!T23</f>
        <v>0</v>
      </c>
      <c r="F23" s="19">
        <f>+'20'!U23</f>
        <v>0</v>
      </c>
      <c r="G23" s="16">
        <f>+'20'!V23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30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+'20'!T24</f>
        <v>0</v>
      </c>
      <c r="F24" s="19">
        <f>+'20'!U24</f>
        <v>0</v>
      </c>
      <c r="G24" s="16">
        <f>+'20'!V24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30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+'20'!T25</f>
        <v>0</v>
      </c>
      <c r="F25" s="19">
        <f>+'20'!U25</f>
        <v>0</v>
      </c>
      <c r="G25" s="17">
        <f>+'20'!V25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30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+'20'!T26</f>
        <v>0</v>
      </c>
      <c r="F26" s="19">
        <f>+'20'!U26</f>
        <v>0</v>
      </c>
      <c r="G26" s="17">
        <f>+'20'!V26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30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+'20'!T27</f>
        <v>0</v>
      </c>
      <c r="F27" s="19">
        <f>+'20'!U27</f>
        <v>0</v>
      </c>
      <c r="G27" s="17">
        <f>+'20'!V27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30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+'20'!T28</f>
        <v>0</v>
      </c>
      <c r="F28" s="19">
        <f>+'20'!U28</f>
        <v>0</v>
      </c>
      <c r="G28" s="17">
        <f>+'20'!V28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30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+'20'!T29</f>
        <v>0</v>
      </c>
      <c r="F29" s="19">
        <f>+'20'!U29</f>
        <v>0</v>
      </c>
      <c r="G29" s="17">
        <f>+'20'!V29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30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+'20'!T30</f>
        <v>0</v>
      </c>
      <c r="F30" s="19">
        <f>+'20'!U30</f>
        <v>0</v>
      </c>
      <c r="G30" s="17">
        <f>+'20'!V30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30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+'20'!T31</f>
        <v>0</v>
      </c>
      <c r="F31" s="19">
        <f>+'20'!U31</f>
        <v>0</v>
      </c>
      <c r="G31" s="17">
        <f>+'20'!V31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30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+'20'!T32</f>
        <v>0</v>
      </c>
      <c r="F32" s="19">
        <f>+'20'!U32</f>
        <v>0</v>
      </c>
      <c r="G32" s="17">
        <f>+'20'!V32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+'20'!T33</f>
        <v>0</v>
      </c>
      <c r="F33" s="19">
        <f>+'20'!U33</f>
        <v>0</v>
      </c>
      <c r="G33" s="17">
        <f>+'20'!V33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+'20'!T34</f>
        <v>0</v>
      </c>
      <c r="F34" s="19">
        <f>+'20'!U34</f>
        <v>0</v>
      </c>
      <c r="G34" s="17">
        <f>+'20'!V34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+'20'!T35</f>
        <v>0</v>
      </c>
      <c r="F35" s="19">
        <f>+'20'!U35</f>
        <v>0</v>
      </c>
      <c r="G35" s="17">
        <f>+'20'!V35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+'20'!T36</f>
        <v>0</v>
      </c>
      <c r="F36" s="19">
        <f>+'20'!U36</f>
        <v>0</v>
      </c>
      <c r="G36" s="17">
        <f>+'20'!V36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+'20'!T37</f>
        <v>0</v>
      </c>
      <c r="F37" s="19">
        <f>+'20'!U37</f>
        <v>0</v>
      </c>
      <c r="G37" s="17">
        <f>+'20'!V37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42</v>
      </c>
      <c r="F38" s="5"/>
      <c r="G38" s="22">
        <f>+SUM(G20:G37)</f>
        <v>23.220000000000002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42</v>
      </c>
      <c r="L38" s="5"/>
      <c r="M38" s="22">
        <f t="shared" ref="M38:T38" si="41">+SUM(M20:M37)</f>
        <v>23.220000000000002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42</v>
      </c>
      <c r="U38" s="5"/>
      <c r="V38" s="22">
        <f t="shared" ref="V38" si="42">+SUM(V20:V37)</f>
        <v>23.220000000000002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103</v>
      </c>
      <c r="F39" s="5"/>
      <c r="G39" s="22">
        <f>+SUM(G7:G38)/2</f>
        <v>42.548333333333332</v>
      </c>
      <c r="H39" s="5">
        <f>+SUM(H7:H38)/2</f>
        <v>0</v>
      </c>
      <c r="I39" s="5"/>
      <c r="J39" s="22">
        <f>+SUM(J7:J38)/2</f>
        <v>0</v>
      </c>
      <c r="K39" s="5">
        <f>+SUM(K7:K38)/2</f>
        <v>103</v>
      </c>
      <c r="L39" s="5"/>
      <c r="M39" s="22">
        <f t="shared" ref="M39:T39" si="43">+SUM(M7:M38)/2</f>
        <v>42.548333333333332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103</v>
      </c>
      <c r="U39" s="5"/>
      <c r="V39" s="22">
        <f>+SUM(V7:V38)/2</f>
        <v>42.548333333333332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C41" s="2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C47" s="2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29">
    <mergeCell ref="A47:B47"/>
    <mergeCell ref="H47:M47"/>
    <mergeCell ref="R47:V47"/>
    <mergeCell ref="A2:V2"/>
    <mergeCell ref="A5:A6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H6:J6"/>
    <mergeCell ref="W4:AB4"/>
    <mergeCell ref="W6:Z6"/>
    <mergeCell ref="AA6:AB6"/>
    <mergeCell ref="W20:X20"/>
    <mergeCell ref="A41:B41"/>
    <mergeCell ref="H41:M41"/>
    <mergeCell ref="R41:V41"/>
    <mergeCell ref="W5:X5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41E3-B9DF-486F-B956-32FA3B36B983}">
  <sheetPr>
    <tabColor rgb="FF00B0F0"/>
  </sheetPr>
  <dimension ref="A2:AC47"/>
  <sheetViews>
    <sheetView view="pageBreakPreview" zoomScale="90" zoomScaleNormal="100" zoomScaleSheetLayoutView="90" workbookViewId="0">
      <pane xSplit="2" ySplit="7" topLeftCell="L8" activePane="bottomRight" state="frozen"/>
      <selection activeCell="K14" sqref="K14"/>
      <selection pane="topRight" activeCell="K14" sqref="K14"/>
      <selection pane="bottomLeft" activeCell="K14" sqref="K14"/>
      <selection pane="bottomRight" activeCell="R24" sqref="R2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6640625" style="1" customWidth="1"/>
    <col min="25" max="25" width="6.66406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+'21'!T4+1</f>
        <v>45860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+'21'!T8</f>
        <v>-20</v>
      </c>
      <c r="F8" s="19">
        <f>+'21'!U8</f>
        <v>0.36249999999999999</v>
      </c>
      <c r="G8" s="17">
        <f>+'21'!V8</f>
        <v>-7.25</v>
      </c>
      <c r="H8" s="17"/>
      <c r="I8" s="18"/>
      <c r="J8" s="18">
        <f>+H8*I8</f>
        <v>0</v>
      </c>
      <c r="K8" s="16">
        <f t="shared" ref="K8:K14" si="0">+E8+H8</f>
        <v>-20</v>
      </c>
      <c r="L8" s="19">
        <f t="shared" ref="L8:L14" si="1">IF(K8=0,,M8/K8)</f>
        <v>0.36249999999999999</v>
      </c>
      <c r="M8" s="19">
        <f t="shared" ref="M8:M14" si="2">+J8+G8</f>
        <v>-7.25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-20</v>
      </c>
      <c r="U8" s="18">
        <f t="shared" ref="U8:U14" si="5">IF(T8=0,,V8/T8)</f>
        <v>0.36249999999999999</v>
      </c>
      <c r="V8" s="18">
        <f t="shared" ref="V8:V14" si="6">+T8*L8</f>
        <v>-7.25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+Y8+'21'!AA8</f>
        <v>21</v>
      </c>
      <c r="AB8" s="30">
        <f>+Z8+'21'!AB8</f>
        <v>21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+'21'!T9</f>
        <v>18</v>
      </c>
      <c r="F9" s="19">
        <f>+'21'!U9</f>
        <v>0.36249999999999999</v>
      </c>
      <c r="G9" s="17">
        <f>+'21'!V9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+Y9+'21'!AA9</f>
        <v>0</v>
      </c>
      <c r="AB9" s="30">
        <f>+Z9+'21'!AB9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+'21'!T10</f>
        <v>8</v>
      </c>
      <c r="F10" s="19">
        <f>+'21'!U10</f>
        <v>0.36249999999999999</v>
      </c>
      <c r="G10" s="17">
        <f>+'21'!V10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+Y10+'21'!AA10</f>
        <v>3</v>
      </c>
      <c r="AB10" s="30">
        <f>+Z10+'21'!AB10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+'21'!T11</f>
        <v>0</v>
      </c>
      <c r="F11" s="19">
        <f>+'21'!U11</f>
        <v>0</v>
      </c>
      <c r="G11" s="17">
        <f>+'21'!V11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+Y11+'21'!AA11</f>
        <v>2</v>
      </c>
      <c r="AB11" s="30">
        <f>+Z11+'21'!AB11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+'21'!T12</f>
        <v>9</v>
      </c>
      <c r="F12" s="19">
        <f>+'21'!U12</f>
        <v>0.36249999999999993</v>
      </c>
      <c r="G12" s="17">
        <f>+'21'!V12</f>
        <v>3.2624999999999993</v>
      </c>
      <c r="H12" s="17"/>
      <c r="I12" s="18"/>
      <c r="J12" s="18">
        <f t="shared" si="11"/>
        <v>0</v>
      </c>
      <c r="K12" s="16">
        <f t="shared" si="0"/>
        <v>9</v>
      </c>
      <c r="L12" s="19">
        <f t="shared" si="1"/>
        <v>0.36249999999999993</v>
      </c>
      <c r="M12" s="19">
        <f t="shared" si="2"/>
        <v>3.2624999999999993</v>
      </c>
      <c r="N12" s="17"/>
      <c r="O12" s="18">
        <f t="shared" si="9"/>
        <v>0</v>
      </c>
      <c r="P12" s="17"/>
      <c r="Q12" s="18">
        <f t="shared" si="10"/>
        <v>0</v>
      </c>
      <c r="R12" s="17">
        <v>3</v>
      </c>
      <c r="S12" s="18">
        <f t="shared" si="3"/>
        <v>1.0874999999999999</v>
      </c>
      <c r="T12" s="17">
        <f t="shared" si="4"/>
        <v>6</v>
      </c>
      <c r="U12" s="18">
        <f t="shared" si="5"/>
        <v>0.36249999999999999</v>
      </c>
      <c r="V12" s="18">
        <f t="shared" si="6"/>
        <v>2.1749999999999998</v>
      </c>
      <c r="W12" s="1" t="str">
        <f>+$B$12</f>
        <v>Schweppes Soda Water 330ml (24cans)</v>
      </c>
      <c r="Y12" s="2">
        <f>+$R$12</f>
        <v>3</v>
      </c>
      <c r="Z12" s="26">
        <f t="shared" si="7"/>
        <v>3</v>
      </c>
      <c r="AA12" s="35">
        <f>+Y12+'21'!AA12</f>
        <v>8</v>
      </c>
      <c r="AB12" s="30">
        <f>+Z12+'21'!AB12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+'21'!T13</f>
        <v>17</v>
      </c>
      <c r="F13" s="19">
        <f>+'21'!U13</f>
        <v>0.36249999999999999</v>
      </c>
      <c r="G13" s="17">
        <f>+'21'!V13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+Y13+'21'!AA13</f>
        <v>2</v>
      </c>
      <c r="AB13" s="30">
        <f>+Z13+'21'!AB13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+'21'!T14</f>
        <v>16</v>
      </c>
      <c r="F14" s="19">
        <f>+'21'!U14</f>
        <v>0.36249999999999999</v>
      </c>
      <c r="G14" s="17">
        <f>+'21'!V14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+Y14+'21'!AA14</f>
        <v>4</v>
      </c>
      <c r="AB14" s="30">
        <f>+Z14+'21'!AB14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48</v>
      </c>
      <c r="F15" s="5"/>
      <c r="G15" s="22">
        <f>+SUM(G8:G14)</f>
        <v>17.399999999999999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48</v>
      </c>
      <c r="L15" s="5"/>
      <c r="M15" s="22">
        <f t="shared" ref="M15:T15" si="13">+SUM(M8:M14)</f>
        <v>17.399999999999999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3</v>
      </c>
      <c r="S15" s="22">
        <f t="shared" si="13"/>
        <v>1.0874999999999999</v>
      </c>
      <c r="T15" s="5">
        <f t="shared" si="13"/>
        <v>45</v>
      </c>
      <c r="U15" s="5"/>
      <c r="V15" s="22">
        <f t="shared" ref="V15" si="14">+SUM(V8:V14)</f>
        <v>16.3125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+Y15+'21'!AA15</f>
        <v>21</v>
      </c>
      <c r="AB15" s="30">
        <f>+Z15+'21'!AB15</f>
        <v>10.5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1</v>
      </c>
      <c r="Z16" s="26">
        <f>+Y16*1.25</f>
        <v>1.25</v>
      </c>
      <c r="AA16" s="35">
        <f>+Y16+'21'!AA16</f>
        <v>9</v>
      </c>
      <c r="AB16" s="30">
        <f>+Z16+'21'!AB16</f>
        <v>11.25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+'21'!T17</f>
        <v>13</v>
      </c>
      <c r="F17" s="19">
        <f>+'21'!U17</f>
        <v>0.14833333333333334</v>
      </c>
      <c r="G17" s="19">
        <f>+'21'!V17</f>
        <v>1.9283333333333335</v>
      </c>
      <c r="H17" s="17"/>
      <c r="I17" s="18"/>
      <c r="J17" s="18">
        <f t="shared" ref="J17" si="15">+H17*I17</f>
        <v>0</v>
      </c>
      <c r="K17" s="16">
        <f>+E17+H17</f>
        <v>13</v>
      </c>
      <c r="L17" s="19">
        <f t="shared" ref="L17" si="16">IF(K17=0,,M17/K17)</f>
        <v>0.14833333333333334</v>
      </c>
      <c r="M17" s="19">
        <f>+J17+G17</f>
        <v>1.9283333333333335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</v>
      </c>
      <c r="U17" s="18">
        <f t="shared" ref="U17" si="21">IF(T17=0,,V17/T17)</f>
        <v>0.14833333333333334</v>
      </c>
      <c r="V17" s="18">
        <f t="shared" ref="V17" si="22">+T17*L17</f>
        <v>1.9283333333333335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+Y17+'21'!AA17</f>
        <v>11</v>
      </c>
      <c r="AB17" s="30">
        <f>+Z17+'21'!AB17</f>
        <v>13.75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</v>
      </c>
      <c r="F18" s="5"/>
      <c r="G18" s="22">
        <f>+G17</f>
        <v>1.9283333333333335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</v>
      </c>
      <c r="L18" s="5"/>
      <c r="M18" s="22">
        <f t="shared" ref="M18:T18" si="25">+M17</f>
        <v>1.9283333333333335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</v>
      </c>
      <c r="U18" s="5"/>
      <c r="V18" s="22">
        <f t="shared" ref="V18" si="26">+V17</f>
        <v>1.9283333333333335</v>
      </c>
      <c r="Y18" s="34">
        <f>+$R$22</f>
        <v>0</v>
      </c>
      <c r="Z18" s="26">
        <f t="shared" si="7"/>
        <v>0</v>
      </c>
      <c r="AA18" s="35">
        <f>+Y18+'21'!AA18</f>
        <v>0</v>
      </c>
      <c r="AB18" s="30">
        <f>+Z18+'21'!AB18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+Y19+'21'!AA19</f>
        <v>0</v>
      </c>
      <c r="AB19" s="30">
        <f>+Z19+'21'!AB19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+'21'!T20</f>
        <v>24</v>
      </c>
      <c r="F20" s="19">
        <f>+'21'!U20</f>
        <v>0.48</v>
      </c>
      <c r="G20" s="17">
        <f>+'21'!V20</f>
        <v>11.52</v>
      </c>
      <c r="H20" s="17"/>
      <c r="I20" s="18"/>
      <c r="J20" s="18">
        <f t="shared" ref="J20:J37" si="28">+H20*I20</f>
        <v>0</v>
      </c>
      <c r="K20" s="16">
        <f t="shared" ref="K20:K37" si="29">+E20+H20</f>
        <v>24</v>
      </c>
      <c r="L20" s="19">
        <f t="shared" ref="L20:L37" si="30">IF(K20=0,,M20/K20)</f>
        <v>0.48</v>
      </c>
      <c r="M20" s="19">
        <f t="shared" ref="M20:M37" si="31">+J20+G20</f>
        <v>11.52</v>
      </c>
      <c r="N20" s="17"/>
      <c r="O20" s="18">
        <f t="shared" ref="O20:O37" si="32">+N20*L20</f>
        <v>0</v>
      </c>
      <c r="P20" s="17"/>
      <c r="Q20" s="18">
        <f>+P20*L20</f>
        <v>0</v>
      </c>
      <c r="R20" s="17">
        <v>1</v>
      </c>
      <c r="S20" s="18">
        <f t="shared" ref="S20:S37" si="33">+R20*L20</f>
        <v>0.48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4</v>
      </c>
      <c r="Z20" s="31">
        <f>+SUM(Z8:Z19)</f>
        <v>4.25</v>
      </c>
      <c r="AA20" s="28">
        <f>+SUM(AA8:AA19)</f>
        <v>81</v>
      </c>
      <c r="AB20" s="31">
        <f>+SUM(AB8:AB19)</f>
        <v>75.5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+'21'!T21</f>
        <v>18</v>
      </c>
      <c r="F21" s="19">
        <f>+'21'!U21</f>
        <v>0.65000000000000013</v>
      </c>
      <c r="G21" s="17">
        <f>+'21'!V21</f>
        <v>11.700000000000003</v>
      </c>
      <c r="H21" s="17"/>
      <c r="I21" s="18"/>
      <c r="J21" s="18">
        <f t="shared" si="28"/>
        <v>0</v>
      </c>
      <c r="K21" s="16">
        <f t="shared" si="29"/>
        <v>18</v>
      </c>
      <c r="L21" s="19">
        <f t="shared" si="30"/>
        <v>0.65000000000000013</v>
      </c>
      <c r="M21" s="19">
        <f t="shared" si="31"/>
        <v>11.700000000000003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18</v>
      </c>
      <c r="U21" s="18">
        <f t="shared" si="35"/>
        <v>0.65000000000000013</v>
      </c>
      <c r="V21" s="18">
        <f t="shared" si="36"/>
        <v>11.700000000000003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+'21'!T22</f>
        <v>0</v>
      </c>
      <c r="F22" s="19">
        <f>+'21'!U22</f>
        <v>0</v>
      </c>
      <c r="G22" s="17">
        <f>+'21'!V22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+'21'!T23</f>
        <v>0</v>
      </c>
      <c r="F23" s="19">
        <f>+'21'!U23</f>
        <v>0</v>
      </c>
      <c r="G23" s="17">
        <f>+'21'!V23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+'21'!T24</f>
        <v>0</v>
      </c>
      <c r="F24" s="19">
        <f>+'21'!U24</f>
        <v>0</v>
      </c>
      <c r="G24" s="17">
        <f>+'21'!V24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+'21'!T25</f>
        <v>0</v>
      </c>
      <c r="F25" s="19">
        <f>+'21'!U25</f>
        <v>0</v>
      </c>
      <c r="G25" s="17">
        <f>+'21'!V25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+'21'!T26</f>
        <v>0</v>
      </c>
      <c r="F26" s="19">
        <f>+'21'!U26</f>
        <v>0</v>
      </c>
      <c r="G26" s="17">
        <f>+'21'!V26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+'21'!T27</f>
        <v>0</v>
      </c>
      <c r="F27" s="19">
        <f>+'21'!U27</f>
        <v>0</v>
      </c>
      <c r="G27" s="17">
        <f>+'21'!V27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+'21'!T28</f>
        <v>0</v>
      </c>
      <c r="F28" s="19">
        <f>+'21'!U28</f>
        <v>0</v>
      </c>
      <c r="G28" s="17">
        <f>+'21'!V28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+'21'!T29</f>
        <v>0</v>
      </c>
      <c r="F29" s="19">
        <f>+'21'!U29</f>
        <v>0</v>
      </c>
      <c r="G29" s="17">
        <f>+'21'!V29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+'21'!T30</f>
        <v>0</v>
      </c>
      <c r="F30" s="19">
        <f>+'21'!U30</f>
        <v>0</v>
      </c>
      <c r="G30" s="17">
        <f>+'21'!V30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+'21'!T31</f>
        <v>0</v>
      </c>
      <c r="F31" s="19">
        <f>+'21'!U31</f>
        <v>0</v>
      </c>
      <c r="G31" s="17">
        <f>+'21'!V31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+'21'!T32</f>
        <v>0</v>
      </c>
      <c r="F32" s="19">
        <f>+'21'!U32</f>
        <v>0</v>
      </c>
      <c r="G32" s="17">
        <f>+'21'!V32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+'21'!T33</f>
        <v>0</v>
      </c>
      <c r="F33" s="19">
        <f>+'21'!U33</f>
        <v>0</v>
      </c>
      <c r="G33" s="17">
        <f>+'21'!V33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+'21'!T34</f>
        <v>0</v>
      </c>
      <c r="F34" s="19">
        <f>+'21'!U34</f>
        <v>0</v>
      </c>
      <c r="G34" s="17">
        <f>+'21'!V34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+'21'!T35</f>
        <v>0</v>
      </c>
      <c r="F35" s="19">
        <f>+'21'!U35</f>
        <v>0</v>
      </c>
      <c r="G35" s="17">
        <f>+'21'!V35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+'21'!T36</f>
        <v>0</v>
      </c>
      <c r="F36" s="19">
        <f>+'21'!U36</f>
        <v>0</v>
      </c>
      <c r="G36" s="17">
        <f>+'21'!V36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+'21'!T37</f>
        <v>0</v>
      </c>
      <c r="F37" s="19">
        <f>+'21'!U37</f>
        <v>0</v>
      </c>
      <c r="G37" s="17">
        <f>+'21'!V37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42</v>
      </c>
      <c r="F38" s="5"/>
      <c r="G38" s="22">
        <f>+SUM(G20:G37)</f>
        <v>23.220000000000002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42</v>
      </c>
      <c r="L38" s="5"/>
      <c r="M38" s="22">
        <f t="shared" ref="M38:T38" si="41">+SUM(M20:M37)</f>
        <v>23.220000000000002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1</v>
      </c>
      <c r="S38" s="22">
        <f t="shared" si="41"/>
        <v>0.48</v>
      </c>
      <c r="T38" s="5">
        <f t="shared" si="41"/>
        <v>41</v>
      </c>
      <c r="U38" s="5"/>
      <c r="V38" s="22">
        <f t="shared" ref="V38" si="42">+SUM(V20:V37)</f>
        <v>22.740000000000002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103</v>
      </c>
      <c r="F39" s="5"/>
      <c r="G39" s="22">
        <f>+SUM(G7:G38)/2</f>
        <v>42.548333333333332</v>
      </c>
      <c r="H39" s="5">
        <f>+SUM(H7:H38)/2</f>
        <v>0</v>
      </c>
      <c r="I39" s="5"/>
      <c r="J39" s="22">
        <f>+SUM(J7:J38)/2</f>
        <v>0</v>
      </c>
      <c r="K39" s="5">
        <f>+SUM(K7:K38)/2</f>
        <v>103</v>
      </c>
      <c r="L39" s="5"/>
      <c r="M39" s="22">
        <f t="shared" ref="M39:T39" si="43">+SUM(M7:M38)/2</f>
        <v>42.548333333333332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4</v>
      </c>
      <c r="S39" s="22">
        <f t="shared" si="43"/>
        <v>1.5674999999999999</v>
      </c>
      <c r="T39" s="5">
        <f t="shared" si="43"/>
        <v>99</v>
      </c>
      <c r="U39" s="5"/>
      <c r="V39" s="22">
        <f>+SUM(V7:V38)/2</f>
        <v>40.980833333333337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E7F0-A70C-4FB6-A789-390C0E54D4EF}">
  <dimension ref="A2:AC47"/>
  <sheetViews>
    <sheetView view="pageBreakPreview" zoomScale="90" zoomScaleNormal="100" zoomScaleSheetLayoutView="90" workbookViewId="0">
      <pane xSplit="2" ySplit="7" topLeftCell="K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5.33203125" style="1" customWidth="1"/>
    <col min="25" max="25" width="8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+'22'!T4+1</f>
        <v>45861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+'22'!T8</f>
        <v>-20</v>
      </c>
      <c r="F8" s="19">
        <f>+'22'!U8</f>
        <v>0.36249999999999999</v>
      </c>
      <c r="G8" s="17">
        <f>+'22'!V8</f>
        <v>-7.25</v>
      </c>
      <c r="H8" s="17"/>
      <c r="I8" s="18"/>
      <c r="J8" s="18">
        <f>+H8*I8</f>
        <v>0</v>
      </c>
      <c r="K8" s="16">
        <f t="shared" ref="K8:K14" si="0">+E8+H8</f>
        <v>-20</v>
      </c>
      <c r="L8" s="19">
        <f t="shared" ref="L8:L14" si="1">IF(K8=0,,M8/K8)</f>
        <v>0.36249999999999999</v>
      </c>
      <c r="M8" s="19">
        <f t="shared" ref="M8:M14" si="2">+J8+G8</f>
        <v>-7.25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-20</v>
      </c>
      <c r="U8" s="18">
        <f t="shared" ref="U8:U14" si="5">IF(T8=0,,V8/T8)</f>
        <v>0.36249999999999999</v>
      </c>
      <c r="V8" s="18">
        <f t="shared" ref="V8:V14" si="6">+T8*L8</f>
        <v>-7.25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+Y8+'22'!AA8</f>
        <v>21</v>
      </c>
      <c r="AB8" s="30">
        <f>+Z8+'22'!AB8</f>
        <v>21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+'22'!T9</f>
        <v>18</v>
      </c>
      <c r="F9" s="19">
        <f>+'22'!U9</f>
        <v>0.36249999999999999</v>
      </c>
      <c r="G9" s="17">
        <f>+'22'!V9</f>
        <v>6.5249999999999995</v>
      </c>
      <c r="H9" s="17"/>
      <c r="I9" s="18"/>
      <c r="J9" s="18">
        <f>+H9*I9</f>
        <v>0</v>
      </c>
      <c r="K9" s="16">
        <f t="shared" si="0"/>
        <v>18</v>
      </c>
      <c r="L9" s="19">
        <f t="shared" si="1"/>
        <v>0.36249999999999999</v>
      </c>
      <c r="M9" s="19">
        <f t="shared" si="2"/>
        <v>6.5249999999999995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18</v>
      </c>
      <c r="U9" s="18">
        <f t="shared" si="5"/>
        <v>0.36249999999999999</v>
      </c>
      <c r="V9" s="18">
        <f t="shared" si="6"/>
        <v>6.5249999999999995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+Y9+'22'!AA9</f>
        <v>0</v>
      </c>
      <c r="AB9" s="30">
        <f>+Z9+'22'!AB9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+'22'!T10</f>
        <v>8</v>
      </c>
      <c r="F10" s="19">
        <f>+'22'!U10</f>
        <v>0.36249999999999999</v>
      </c>
      <c r="G10" s="17">
        <f>+'22'!V10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+Y10+'22'!AA10</f>
        <v>3</v>
      </c>
      <c r="AB10" s="30">
        <f>+Z10+'22'!AB10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+'22'!T11</f>
        <v>0</v>
      </c>
      <c r="F11" s="19">
        <f>+'22'!U11</f>
        <v>0</v>
      </c>
      <c r="G11" s="17">
        <f>+'22'!V11</f>
        <v>0</v>
      </c>
      <c r="H11" s="17"/>
      <c r="I11" s="18"/>
      <c r="J11" s="18">
        <f t="shared" si="11"/>
        <v>0</v>
      </c>
      <c r="K11" s="16">
        <f t="shared" si="0"/>
        <v>0</v>
      </c>
      <c r="L11" s="19">
        <f t="shared" si="1"/>
        <v>0</v>
      </c>
      <c r="M11" s="19">
        <f t="shared" si="2"/>
        <v>0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0</v>
      </c>
      <c r="U11" s="18">
        <f t="shared" si="5"/>
        <v>0</v>
      </c>
      <c r="V11" s="18">
        <f t="shared" si="6"/>
        <v>0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+Y11+'22'!AA11</f>
        <v>2</v>
      </c>
      <c r="AB11" s="30">
        <f>+Z11+'22'!AB11</f>
        <v>2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+'22'!T12</f>
        <v>6</v>
      </c>
      <c r="F12" s="19">
        <f>+'22'!U12</f>
        <v>0.36249999999999999</v>
      </c>
      <c r="G12" s="17">
        <f>+'22'!V12</f>
        <v>2.1749999999999998</v>
      </c>
      <c r="H12" s="17"/>
      <c r="I12" s="18"/>
      <c r="J12" s="18">
        <f t="shared" si="11"/>
        <v>0</v>
      </c>
      <c r="K12" s="16">
        <f t="shared" si="0"/>
        <v>6</v>
      </c>
      <c r="L12" s="19">
        <f t="shared" si="1"/>
        <v>0.36249999999999999</v>
      </c>
      <c r="M12" s="19">
        <f t="shared" si="2"/>
        <v>2.1749999999999998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6</v>
      </c>
      <c r="U12" s="18">
        <f t="shared" si="5"/>
        <v>0.36249999999999999</v>
      </c>
      <c r="V12" s="18">
        <f t="shared" si="6"/>
        <v>2.1749999999999998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+Y12+'22'!AA12</f>
        <v>8</v>
      </c>
      <c r="AB12" s="30">
        <f>+Z12+'22'!AB12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+'22'!T13</f>
        <v>17</v>
      </c>
      <c r="F13" s="19">
        <f>+'22'!U13</f>
        <v>0.36249999999999999</v>
      </c>
      <c r="G13" s="17">
        <f>+'22'!V13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+Y13+'22'!AA13</f>
        <v>2</v>
      </c>
      <c r="AB13" s="30">
        <f>+Z13+'22'!AB13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+'22'!T14</f>
        <v>16</v>
      </c>
      <c r="F14" s="19">
        <f>+'22'!U14</f>
        <v>0.36249999999999999</v>
      </c>
      <c r="G14" s="17">
        <f>+'22'!V14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+Y14+'22'!AA14</f>
        <v>4</v>
      </c>
      <c r="AB14" s="30">
        <f>+Z14+'22'!AB14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45</v>
      </c>
      <c r="F15" s="5"/>
      <c r="G15" s="22">
        <f>+SUM(G8:G14)</f>
        <v>16.3125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45</v>
      </c>
      <c r="L15" s="5"/>
      <c r="M15" s="22">
        <f t="shared" ref="M15:T15" si="13">+SUM(M8:M14)</f>
        <v>16.3125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45</v>
      </c>
      <c r="U15" s="5"/>
      <c r="V15" s="22">
        <f t="shared" ref="V15" si="14">+SUM(V8:V14)</f>
        <v>16.3125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+Y15+'22'!AA15</f>
        <v>21</v>
      </c>
      <c r="AB15" s="30">
        <f>+Z15+'22'!AB15</f>
        <v>10.5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+Y16+'22'!AA16</f>
        <v>9</v>
      </c>
      <c r="AB16" s="30">
        <f>+Z16+'22'!AB16</f>
        <v>11.25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+'22'!T17</f>
        <v>13</v>
      </c>
      <c r="F17" s="19">
        <f>+'22'!U17</f>
        <v>0.14833333333333334</v>
      </c>
      <c r="G17" s="19">
        <f>+'22'!V17</f>
        <v>1.9283333333333335</v>
      </c>
      <c r="H17" s="17"/>
      <c r="I17" s="18"/>
      <c r="J17" s="18">
        <f t="shared" ref="J17" si="15">+H17*I17</f>
        <v>0</v>
      </c>
      <c r="K17" s="16">
        <f>+E17+H17</f>
        <v>13</v>
      </c>
      <c r="L17" s="19">
        <f t="shared" ref="L17" si="16">IF(K17=0,,M17/K17)</f>
        <v>0.14833333333333334</v>
      </c>
      <c r="M17" s="19">
        <f>+J17+G17</f>
        <v>1.9283333333333335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</v>
      </c>
      <c r="U17" s="18">
        <f t="shared" ref="U17" si="21">IF(T17=0,,V17/T17)</f>
        <v>0.14833333333333334</v>
      </c>
      <c r="V17" s="18">
        <f t="shared" ref="V17" si="22">+T17*L17</f>
        <v>1.9283333333333335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+Y17+'22'!AA17</f>
        <v>11</v>
      </c>
      <c r="AB17" s="30">
        <f>+Z17+'22'!AB17</f>
        <v>13.75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</v>
      </c>
      <c r="F18" s="5"/>
      <c r="G18" s="22">
        <f>+G17</f>
        <v>1.9283333333333335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</v>
      </c>
      <c r="L18" s="5"/>
      <c r="M18" s="22">
        <f t="shared" ref="M18:T18" si="25">+M17</f>
        <v>1.9283333333333335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</v>
      </c>
      <c r="U18" s="5"/>
      <c r="V18" s="22">
        <f t="shared" ref="V18" si="26">+V17</f>
        <v>1.9283333333333335</v>
      </c>
      <c r="Y18" s="34">
        <f>+$R$22</f>
        <v>0</v>
      </c>
      <c r="Z18" s="26">
        <f t="shared" si="7"/>
        <v>0</v>
      </c>
      <c r="AA18" s="35">
        <f>+Y18+'22'!AA18</f>
        <v>0</v>
      </c>
      <c r="AB18" s="30">
        <f>+Z18+'22'!AB18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+Y19+'22'!AA19</f>
        <v>0</v>
      </c>
      <c r="AB19" s="30">
        <f>+Z19+'22'!AB19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+'22'!T20</f>
        <v>23</v>
      </c>
      <c r="F20" s="19">
        <f>+'22'!U20</f>
        <v>0.48</v>
      </c>
      <c r="G20" s="17">
        <f>+'22'!V20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81</v>
      </c>
      <c r="AB20" s="31">
        <f>+SUM(AB8:AB19)</f>
        <v>75.5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+'22'!T21</f>
        <v>18</v>
      </c>
      <c r="F21" s="19">
        <f>+'22'!U21</f>
        <v>0.65000000000000013</v>
      </c>
      <c r="G21" s="17">
        <f>+'22'!V21</f>
        <v>11.700000000000003</v>
      </c>
      <c r="H21" s="17"/>
      <c r="I21" s="18"/>
      <c r="J21" s="18">
        <f t="shared" si="28"/>
        <v>0</v>
      </c>
      <c r="K21" s="16">
        <f t="shared" si="29"/>
        <v>18</v>
      </c>
      <c r="L21" s="19">
        <f t="shared" si="30"/>
        <v>0.65000000000000013</v>
      </c>
      <c r="M21" s="19">
        <f t="shared" si="31"/>
        <v>11.700000000000003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18</v>
      </c>
      <c r="U21" s="18">
        <f t="shared" si="35"/>
        <v>0.65000000000000013</v>
      </c>
      <c r="V21" s="18">
        <f t="shared" si="36"/>
        <v>11.700000000000003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+'22'!T22</f>
        <v>0</v>
      </c>
      <c r="F22" s="19">
        <f>+'22'!U22</f>
        <v>0</v>
      </c>
      <c r="G22" s="17">
        <f>+'22'!V22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+'22'!T23</f>
        <v>0</v>
      </c>
      <c r="F23" s="19">
        <f>+'22'!U23</f>
        <v>0</v>
      </c>
      <c r="G23" s="17">
        <f>+'22'!V23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+'22'!T24</f>
        <v>0</v>
      </c>
      <c r="F24" s="19">
        <f>+'22'!U24</f>
        <v>0</v>
      </c>
      <c r="G24" s="17">
        <f>+'22'!V24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+'22'!T25</f>
        <v>0</v>
      </c>
      <c r="F25" s="19">
        <f>+'22'!U25</f>
        <v>0</v>
      </c>
      <c r="G25" s="17">
        <f>+'22'!V25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+'22'!T26</f>
        <v>0</v>
      </c>
      <c r="F26" s="19">
        <f>+'22'!U26</f>
        <v>0</v>
      </c>
      <c r="G26" s="17">
        <f>+'22'!V26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+'22'!T27</f>
        <v>0</v>
      </c>
      <c r="F27" s="19">
        <f>+'22'!U27</f>
        <v>0</v>
      </c>
      <c r="G27" s="17">
        <f>+'22'!V27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+'22'!T28</f>
        <v>0</v>
      </c>
      <c r="F28" s="19">
        <f>+'22'!U28</f>
        <v>0</v>
      </c>
      <c r="G28" s="17">
        <f>+'22'!V28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+'22'!T29</f>
        <v>0</v>
      </c>
      <c r="F29" s="19">
        <f>+'22'!U29</f>
        <v>0</v>
      </c>
      <c r="G29" s="17">
        <f>+'22'!V29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+'22'!T30</f>
        <v>0</v>
      </c>
      <c r="F30" s="19">
        <f>+'22'!U30</f>
        <v>0</v>
      </c>
      <c r="G30" s="17">
        <f>+'22'!V30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+'22'!T31</f>
        <v>0</v>
      </c>
      <c r="F31" s="19">
        <f>+'22'!U31</f>
        <v>0</v>
      </c>
      <c r="G31" s="17">
        <f>+'22'!V31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+'22'!T32</f>
        <v>0</v>
      </c>
      <c r="F32" s="19">
        <f>+'22'!U32</f>
        <v>0</v>
      </c>
      <c r="G32" s="17">
        <f>+'22'!V32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+'22'!T33</f>
        <v>0</v>
      </c>
      <c r="F33" s="19">
        <f>+'22'!U33</f>
        <v>0</v>
      </c>
      <c r="G33" s="17">
        <f>+'22'!V33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+'22'!T34</f>
        <v>0</v>
      </c>
      <c r="F34" s="19">
        <f>+'22'!U34</f>
        <v>0</v>
      </c>
      <c r="G34" s="17">
        <f>+'22'!V34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+'22'!T35</f>
        <v>0</v>
      </c>
      <c r="F35" s="19">
        <f>+'22'!U35</f>
        <v>0</v>
      </c>
      <c r="G35" s="17">
        <f>+'22'!V35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+'22'!T36</f>
        <v>0</v>
      </c>
      <c r="F36" s="19">
        <f>+'22'!U36</f>
        <v>0</v>
      </c>
      <c r="G36" s="17">
        <f>+'22'!V36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+'22'!T37</f>
        <v>0</v>
      </c>
      <c r="F37" s="19">
        <f>+'22'!U37</f>
        <v>0</v>
      </c>
      <c r="G37" s="17">
        <f>+'22'!V37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41</v>
      </c>
      <c r="F38" s="5"/>
      <c r="G38" s="22">
        <f>+SUM(G20:G37)</f>
        <v>22.740000000000002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41</v>
      </c>
      <c r="L38" s="5"/>
      <c r="M38" s="22">
        <f t="shared" ref="M38:T38" si="41">+SUM(M20:M37)</f>
        <v>22.740000000000002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41</v>
      </c>
      <c r="U38" s="5"/>
      <c r="V38" s="22">
        <f t="shared" ref="V38" si="42">+SUM(V20:V37)</f>
        <v>22.740000000000002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99</v>
      </c>
      <c r="F39" s="5"/>
      <c r="G39" s="22">
        <f>+SUM(G7:G38)/2</f>
        <v>40.980833333333337</v>
      </c>
      <c r="H39" s="5">
        <f>+SUM(H7:H38)/2</f>
        <v>0</v>
      </c>
      <c r="I39" s="5"/>
      <c r="J39" s="22">
        <f>+SUM(J7:J38)/2</f>
        <v>0</v>
      </c>
      <c r="K39" s="5">
        <f>+SUM(K7:K38)/2</f>
        <v>99</v>
      </c>
      <c r="L39" s="5"/>
      <c r="M39" s="22">
        <f t="shared" ref="M39:T39" si="43">+SUM(M7:M38)/2</f>
        <v>40.980833333333337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99</v>
      </c>
      <c r="U39" s="5"/>
      <c r="V39" s="22">
        <f>+SUM(V7:V38)/2</f>
        <v>40.980833333333337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82A1-9CC4-4F6B-BE25-E6AA3015D98E}">
  <sheetPr>
    <tabColor rgb="FFFFC000"/>
  </sheetPr>
  <dimension ref="A2:AD47"/>
  <sheetViews>
    <sheetView view="pageBreakPreview" zoomScale="90" zoomScaleNormal="100" zoomScaleSheetLayoutView="90" workbookViewId="0">
      <pane xSplit="2" ySplit="7" topLeftCell="D8" activePane="bottomRight" state="frozen"/>
      <selection activeCell="K14" sqref="K14"/>
      <selection pane="topRight" activeCell="K14" sqref="K14"/>
      <selection pane="bottomLeft" activeCell="K14" sqref="K14"/>
      <selection pane="bottomRight" activeCell="J11" sqref="J11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36" style="1" hidden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5.109375" style="1" customWidth="1"/>
    <col min="25" max="25" width="7.5546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30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30" ht="21" x14ac:dyDescent="0.4">
      <c r="S4" s="4" t="s">
        <v>37</v>
      </c>
      <c r="T4" s="79">
        <f>+'23'!T4+1</f>
        <v>45862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30" s="6" customFormat="1" ht="15" customHeight="1" x14ac:dyDescent="0.3">
      <c r="A5" s="76" t="s">
        <v>0</v>
      </c>
      <c r="B5" s="5" t="s">
        <v>1</v>
      </c>
      <c r="C5" s="5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30" s="6" customFormat="1" ht="24.75" customHeight="1" x14ac:dyDescent="0.3">
      <c r="A6" s="76"/>
      <c r="B6" s="5" t="s">
        <v>2</v>
      </c>
      <c r="C6" s="5"/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30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30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+'23'!T8</f>
        <v>-20</v>
      </c>
      <c r="F8" s="19">
        <f>+'23'!U8</f>
        <v>0.36249999999999999</v>
      </c>
      <c r="G8" s="17">
        <f>+'23'!V8</f>
        <v>-7.25</v>
      </c>
      <c r="H8" s="17">
        <v>24</v>
      </c>
      <c r="I8" s="18">
        <f>8.7/24</f>
        <v>0.36249999999999999</v>
      </c>
      <c r="J8" s="18">
        <f>+H8*I8</f>
        <v>8.6999999999999993</v>
      </c>
      <c r="K8" s="16">
        <f t="shared" ref="K8:K14" si="0">+E8+H8</f>
        <v>4</v>
      </c>
      <c r="L8" s="19">
        <f t="shared" ref="L8:L14" si="1">IF(K8=0,,M8/K8)</f>
        <v>0.36249999999999982</v>
      </c>
      <c r="M8" s="19">
        <f t="shared" ref="M8:M14" si="2">+J8+G8</f>
        <v>1.4499999999999993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4</v>
      </c>
      <c r="U8" s="18">
        <f t="shared" ref="U8:U14" si="5">IF(T8=0,,V8/T8)</f>
        <v>0.36249999999999982</v>
      </c>
      <c r="V8" s="18">
        <f t="shared" ref="V8:V14" si="6">+T8*L8</f>
        <v>1.4499999999999993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+Y8+'23'!AA8</f>
        <v>21</v>
      </c>
      <c r="AB8" s="29">
        <f>+Z8+'23'!AB8</f>
        <v>21</v>
      </c>
      <c r="AC8" s="27"/>
      <c r="AD8" s="27"/>
    </row>
    <row r="9" spans="1:30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+'23'!T9</f>
        <v>18</v>
      </c>
      <c r="F9" s="19">
        <f>+'23'!U9</f>
        <v>0.36249999999999999</v>
      </c>
      <c r="G9" s="17">
        <f>+'23'!V9</f>
        <v>6.5249999999999995</v>
      </c>
      <c r="H9" s="17">
        <v>24</v>
      </c>
      <c r="I9" s="18">
        <f>8.7/24</f>
        <v>0.36249999999999999</v>
      </c>
      <c r="J9" s="18">
        <f>+H9*I9</f>
        <v>8.6999999999999993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+Y9+'23'!AA9</f>
        <v>0</v>
      </c>
      <c r="AB9" s="29">
        <f>+Z9+'23'!AB9</f>
        <v>0</v>
      </c>
      <c r="AC9" s="27"/>
      <c r="AD9" s="27"/>
    </row>
    <row r="10" spans="1:30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+'23'!T10</f>
        <v>8</v>
      </c>
      <c r="F10" s="19">
        <f>+'23'!U10</f>
        <v>0.36249999999999999</v>
      </c>
      <c r="G10" s="17">
        <f>+'23'!V10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+Y10+'23'!AA10</f>
        <v>3</v>
      </c>
      <c r="AB10" s="29">
        <f>+Z10+'23'!AB10</f>
        <v>3</v>
      </c>
      <c r="AC10" s="27"/>
      <c r="AD10" s="27"/>
    </row>
    <row r="11" spans="1:30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+'23'!T11</f>
        <v>0</v>
      </c>
      <c r="F11" s="19">
        <f>+'23'!U11</f>
        <v>0</v>
      </c>
      <c r="G11" s="17">
        <f>+'23'!V11</f>
        <v>0</v>
      </c>
      <c r="H11" s="17">
        <v>24</v>
      </c>
      <c r="I11" s="18">
        <f>7.2/24</f>
        <v>0.3</v>
      </c>
      <c r="J11" s="18">
        <f t="shared" si="11"/>
        <v>7.1999999999999993</v>
      </c>
      <c r="K11" s="16">
        <f t="shared" si="0"/>
        <v>24</v>
      </c>
      <c r="L11" s="19">
        <f t="shared" si="1"/>
        <v>0.3</v>
      </c>
      <c r="M11" s="19">
        <f t="shared" si="2"/>
        <v>7.1999999999999993</v>
      </c>
      <c r="N11" s="46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24</v>
      </c>
      <c r="U11" s="18">
        <f t="shared" si="5"/>
        <v>0.3</v>
      </c>
      <c r="V11" s="18">
        <f t="shared" si="6"/>
        <v>7.1999999999999993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+Y11+'23'!AA11</f>
        <v>2</v>
      </c>
      <c r="AB11" s="29">
        <f>+Z11+'23'!AB11</f>
        <v>2</v>
      </c>
      <c r="AC11" s="27"/>
      <c r="AD11" s="27"/>
    </row>
    <row r="12" spans="1:30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+'23'!T12</f>
        <v>6</v>
      </c>
      <c r="F12" s="19">
        <f>+'23'!U12</f>
        <v>0.36249999999999999</v>
      </c>
      <c r="G12" s="17">
        <f>+'23'!V12</f>
        <v>2.1749999999999998</v>
      </c>
      <c r="H12" s="17"/>
      <c r="I12" s="18"/>
      <c r="J12" s="18">
        <f t="shared" si="11"/>
        <v>0</v>
      </c>
      <c r="K12" s="16">
        <f t="shared" si="0"/>
        <v>6</v>
      </c>
      <c r="L12" s="19">
        <f t="shared" si="1"/>
        <v>0.36249999999999999</v>
      </c>
      <c r="M12" s="19">
        <f t="shared" si="2"/>
        <v>2.1749999999999998</v>
      </c>
      <c r="N12" s="46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6</v>
      </c>
      <c r="U12" s="18">
        <f t="shared" si="5"/>
        <v>0.36249999999999999</v>
      </c>
      <c r="V12" s="18">
        <f t="shared" si="6"/>
        <v>2.1749999999999998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+Y12+'23'!AA12</f>
        <v>8</v>
      </c>
      <c r="AB12" s="29">
        <f>+Z12+'23'!AB12</f>
        <v>8</v>
      </c>
      <c r="AC12" s="27"/>
      <c r="AD12" s="27"/>
    </row>
    <row r="13" spans="1:30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+'23'!T13</f>
        <v>17</v>
      </c>
      <c r="F13" s="19">
        <f>+'23'!U13</f>
        <v>0.36249999999999999</v>
      </c>
      <c r="G13" s="17">
        <f>+'23'!V13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46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>+K13-N13-P13-R13</f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+Y13+'23'!AA13</f>
        <v>2</v>
      </c>
      <c r="AB13" s="29">
        <f>+Z13+'23'!AB13</f>
        <v>2</v>
      </c>
      <c r="AC13" s="27"/>
      <c r="AD13" s="27"/>
    </row>
    <row r="14" spans="1:30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+'23'!T14</f>
        <v>16</v>
      </c>
      <c r="F14" s="19">
        <f>+'23'!U14</f>
        <v>0.36249999999999999</v>
      </c>
      <c r="G14" s="17">
        <f>+'23'!V14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46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+Y14+'23'!AA14</f>
        <v>4</v>
      </c>
      <c r="AB14" s="29">
        <f>+Z14+'23'!AB14</f>
        <v>4</v>
      </c>
      <c r="AC14" s="27"/>
      <c r="AD14" s="27"/>
    </row>
    <row r="15" spans="1:30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45</v>
      </c>
      <c r="F15" s="5"/>
      <c r="G15" s="22">
        <f>+SUM(G8:G14)</f>
        <v>16.3125</v>
      </c>
      <c r="H15" s="5">
        <f>+SUM(H8:H14)</f>
        <v>72</v>
      </c>
      <c r="I15" s="5"/>
      <c r="J15" s="22">
        <f>+SUM(J8:J14)</f>
        <v>24.599999999999998</v>
      </c>
      <c r="K15" s="5">
        <f t="shared" ref="K15" si="12">+SUM(K8:K14)</f>
        <v>117</v>
      </c>
      <c r="L15" s="5"/>
      <c r="M15" s="22">
        <f t="shared" ref="M15:T15" si="13">+SUM(M8:M14)</f>
        <v>40.912499999999994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117</v>
      </c>
      <c r="U15" s="5"/>
      <c r="V15" s="22">
        <f t="shared" ref="V15" si="14">+SUM(V8:V14)</f>
        <v>40.912499999999994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+Y15+'23'!AA15</f>
        <v>21</v>
      </c>
      <c r="AB15" s="29">
        <f>+Z15+'23'!AB15</f>
        <v>10.5</v>
      </c>
      <c r="AC15" s="25"/>
      <c r="AD15" s="25"/>
    </row>
    <row r="16" spans="1:30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+Y16+'23'!AA16</f>
        <v>9</v>
      </c>
      <c r="AB16" s="29">
        <f>+Z16+'23'!AB16</f>
        <v>11.25</v>
      </c>
      <c r="AC16" s="25"/>
      <c r="AD16" s="25"/>
    </row>
    <row r="17" spans="1:30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+'23'!T17</f>
        <v>13</v>
      </c>
      <c r="F17" s="19">
        <f>+'23'!U17</f>
        <v>0.14833333333333334</v>
      </c>
      <c r="G17" s="19">
        <f>+'23'!V17</f>
        <v>1.9283333333333335</v>
      </c>
      <c r="H17" s="17">
        <v>120</v>
      </c>
      <c r="I17" s="18">
        <f>15.5/120</f>
        <v>0.12916666666666668</v>
      </c>
      <c r="J17" s="18">
        <f t="shared" ref="J17" si="15">+H17*I17</f>
        <v>15.500000000000002</v>
      </c>
      <c r="K17" s="16">
        <f>+E17+H17</f>
        <v>133</v>
      </c>
      <c r="L17" s="19">
        <f t="shared" ref="L17" si="16">IF(K17=0,,M17/K17)</f>
        <v>0.13104010025062657</v>
      </c>
      <c r="M17" s="19">
        <f>+J17+G17</f>
        <v>17.428333333333335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133</v>
      </c>
      <c r="U17" s="18">
        <f t="shared" ref="U17" si="21">IF(T17=0,,V17/T17)</f>
        <v>0.13104010025062657</v>
      </c>
      <c r="V17" s="18">
        <f t="shared" ref="V17" si="22">+T17*L17</f>
        <v>17.428333333333335</v>
      </c>
      <c r="W17" s="1" t="str">
        <f>+$B$21</f>
        <v>Heineken 330ml CAN</v>
      </c>
      <c r="Y17" s="34">
        <f>+$R$21</f>
        <v>2</v>
      </c>
      <c r="Z17" s="26">
        <f>+Y17*1.25</f>
        <v>2.5</v>
      </c>
      <c r="AA17" s="35">
        <f>+Y17+'23'!AA17</f>
        <v>13</v>
      </c>
      <c r="AB17" s="29">
        <f>+Z17+'23'!AB17</f>
        <v>16.25</v>
      </c>
      <c r="AC17" s="27"/>
      <c r="AD17" s="27"/>
    </row>
    <row r="18" spans="1:30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</v>
      </c>
      <c r="F18" s="5"/>
      <c r="G18" s="22">
        <f>+G17</f>
        <v>1.9283333333333335</v>
      </c>
      <c r="H18" s="5">
        <f t="shared" ref="H18" si="23">+H17</f>
        <v>120</v>
      </c>
      <c r="I18" s="5"/>
      <c r="J18" s="22">
        <f t="shared" ref="J18:K18" si="24">+J17</f>
        <v>15.500000000000002</v>
      </c>
      <c r="K18" s="5">
        <f t="shared" si="24"/>
        <v>133</v>
      </c>
      <c r="L18" s="5"/>
      <c r="M18" s="22">
        <f t="shared" ref="M18:T18" si="25">+M17</f>
        <v>17.428333333333335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133</v>
      </c>
      <c r="U18" s="5"/>
      <c r="V18" s="22">
        <f t="shared" ref="V18" si="26">+V17</f>
        <v>17.428333333333335</v>
      </c>
      <c r="Y18" s="34">
        <f>+$R$22</f>
        <v>0</v>
      </c>
      <c r="Z18" s="26">
        <f t="shared" si="7"/>
        <v>0</v>
      </c>
      <c r="AA18" s="35">
        <f>+Y18+'23'!AA18</f>
        <v>0</v>
      </c>
      <c r="AB18" s="29">
        <f>+Z18+'23'!AB18</f>
        <v>0</v>
      </c>
      <c r="AC18" s="25"/>
      <c r="AD18" s="25"/>
    </row>
    <row r="19" spans="1:30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+Y19+'23'!AA19</f>
        <v>0</v>
      </c>
      <c r="AB19" s="29">
        <f>+Z19+'23'!AB19</f>
        <v>0</v>
      </c>
      <c r="AC19" s="25"/>
      <c r="AD19" s="25"/>
    </row>
    <row r="20" spans="1:30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+'23'!T20</f>
        <v>23</v>
      </c>
      <c r="F20" s="19">
        <f>+'23'!U20</f>
        <v>0.48</v>
      </c>
      <c r="G20" s="17">
        <f>+'23'!V20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2</v>
      </c>
      <c r="Z20" s="31">
        <f>+SUM(Z8:Z19)</f>
        <v>2.5</v>
      </c>
      <c r="AA20" s="28">
        <f>+SUM(AA8:AA19)</f>
        <v>83</v>
      </c>
      <c r="AB20" s="31">
        <f>+SUM(AB8:AB19)</f>
        <v>78</v>
      </c>
    </row>
    <row r="21" spans="1:30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+'23'!T21</f>
        <v>18</v>
      </c>
      <c r="F21" s="19">
        <f>+'23'!U21</f>
        <v>0.65000000000000013</v>
      </c>
      <c r="G21" s="17">
        <f>+'23'!V21</f>
        <v>11.700000000000003</v>
      </c>
      <c r="H21" s="17"/>
      <c r="I21" s="18"/>
      <c r="J21" s="18">
        <f t="shared" si="28"/>
        <v>0</v>
      </c>
      <c r="K21" s="16">
        <f t="shared" si="29"/>
        <v>18</v>
      </c>
      <c r="L21" s="19">
        <f t="shared" si="30"/>
        <v>0.65000000000000013</v>
      </c>
      <c r="M21" s="19">
        <f t="shared" si="31"/>
        <v>11.700000000000003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>
        <v>2</v>
      </c>
      <c r="S21" s="18">
        <f t="shared" si="33"/>
        <v>1.3000000000000003</v>
      </c>
      <c r="T21" s="17">
        <f t="shared" si="34"/>
        <v>16</v>
      </c>
      <c r="U21" s="18">
        <f t="shared" si="35"/>
        <v>0.65000000000000013</v>
      </c>
      <c r="V21" s="18">
        <f t="shared" si="36"/>
        <v>10.400000000000002</v>
      </c>
    </row>
    <row r="22" spans="1:30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+'23'!T22</f>
        <v>0</v>
      </c>
      <c r="F22" s="19">
        <f>+'23'!U22</f>
        <v>0</v>
      </c>
      <c r="G22" s="17">
        <f>+'23'!V22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30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+'23'!T23</f>
        <v>0</v>
      </c>
      <c r="F23" s="19">
        <f>+'23'!U23</f>
        <v>0</v>
      </c>
      <c r="G23" s="17">
        <f>+'23'!V23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30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+'23'!T24</f>
        <v>0</v>
      </c>
      <c r="F24" s="19">
        <f>+'23'!U24</f>
        <v>0</v>
      </c>
      <c r="G24" s="17">
        <f>+'23'!V24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30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+'23'!T25</f>
        <v>0</v>
      </c>
      <c r="F25" s="19">
        <f>+'23'!U25</f>
        <v>0</v>
      </c>
      <c r="G25" s="17">
        <f>+'23'!V25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30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+'23'!T26</f>
        <v>0</v>
      </c>
      <c r="F26" s="19">
        <f>+'23'!U26</f>
        <v>0</v>
      </c>
      <c r="G26" s="17">
        <f>+'23'!V26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30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+'23'!T27</f>
        <v>0</v>
      </c>
      <c r="F27" s="19">
        <f>+'23'!U27</f>
        <v>0</v>
      </c>
      <c r="G27" s="17">
        <f>+'23'!V27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30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+'23'!T28</f>
        <v>0</v>
      </c>
      <c r="F28" s="19">
        <f>+'23'!U28</f>
        <v>0</v>
      </c>
      <c r="G28" s="17">
        <f>+'23'!V28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30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+'23'!T29</f>
        <v>0</v>
      </c>
      <c r="F29" s="19">
        <f>+'23'!U29</f>
        <v>0</v>
      </c>
      <c r="G29" s="17">
        <f>+'23'!V29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30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+'23'!T30</f>
        <v>0</v>
      </c>
      <c r="F30" s="19">
        <f>+'23'!U30</f>
        <v>0</v>
      </c>
      <c r="G30" s="17">
        <f>+'23'!V30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30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+'23'!T31</f>
        <v>0</v>
      </c>
      <c r="F31" s="19">
        <f>+'23'!U31</f>
        <v>0</v>
      </c>
      <c r="G31" s="17">
        <f>+'23'!V31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30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+'23'!T32</f>
        <v>0</v>
      </c>
      <c r="F32" s="19">
        <f>+'23'!U32</f>
        <v>0</v>
      </c>
      <c r="G32" s="17">
        <f>+'23'!V32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+'23'!T33</f>
        <v>0</v>
      </c>
      <c r="F33" s="19">
        <f>+'23'!U33</f>
        <v>0</v>
      </c>
      <c r="G33" s="17">
        <f>+'23'!V33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+'23'!T34</f>
        <v>0</v>
      </c>
      <c r="F34" s="19">
        <f>+'23'!U34</f>
        <v>0</v>
      </c>
      <c r="G34" s="17">
        <f>+'23'!V34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+'23'!T35</f>
        <v>0</v>
      </c>
      <c r="F35" s="19">
        <f>+'23'!U35</f>
        <v>0</v>
      </c>
      <c r="G35" s="17">
        <f>+'23'!V35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+'23'!T36</f>
        <v>0</v>
      </c>
      <c r="F36" s="19">
        <f>+'23'!U36</f>
        <v>0</v>
      </c>
      <c r="G36" s="17">
        <f>+'23'!V36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+'23'!T37</f>
        <v>0</v>
      </c>
      <c r="F37" s="19">
        <f>+'23'!U37</f>
        <v>0</v>
      </c>
      <c r="G37" s="17">
        <f>+'23'!V37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41</v>
      </c>
      <c r="F38" s="5"/>
      <c r="G38" s="22">
        <f>+SUM(G20:G37)</f>
        <v>22.740000000000002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41</v>
      </c>
      <c r="L38" s="5"/>
      <c r="M38" s="22">
        <f t="shared" ref="M38:T38" si="41">+SUM(M20:M37)</f>
        <v>22.740000000000002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2</v>
      </c>
      <c r="S38" s="22">
        <f t="shared" si="41"/>
        <v>1.3000000000000003</v>
      </c>
      <c r="T38" s="5">
        <f t="shared" si="41"/>
        <v>39</v>
      </c>
      <c r="U38" s="5"/>
      <c r="V38" s="22">
        <f t="shared" ref="V38" si="42">+SUM(V20:V37)</f>
        <v>21.44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99</v>
      </c>
      <c r="F39" s="5"/>
      <c r="G39" s="22">
        <f>+SUM(G7:G38)/2</f>
        <v>40.980833333333337</v>
      </c>
      <c r="H39" s="5">
        <f>+SUM(H7:H38)/2</f>
        <v>192</v>
      </c>
      <c r="I39" s="5"/>
      <c r="J39" s="22">
        <f>+SUM(J7:J38)/2</f>
        <v>40.1</v>
      </c>
      <c r="K39" s="5">
        <f>+SUM(K7:K38)/2</f>
        <v>291</v>
      </c>
      <c r="L39" s="5"/>
      <c r="M39" s="22">
        <f t="shared" ref="M39:T39" si="43">+SUM(M7:M38)/2</f>
        <v>81.080833333333345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1.3000000000000003</v>
      </c>
      <c r="T39" s="5">
        <f t="shared" si="43"/>
        <v>289</v>
      </c>
      <c r="U39" s="5"/>
      <c r="V39" s="22">
        <f>+SUM(V7:V38)/2</f>
        <v>79.780833333333334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C41" s="2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C47" s="2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29">
    <mergeCell ref="A47:B47"/>
    <mergeCell ref="H47:M47"/>
    <mergeCell ref="R47:V47"/>
    <mergeCell ref="A2:V2"/>
    <mergeCell ref="A5:A6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H6:J6"/>
    <mergeCell ref="W4:AB4"/>
    <mergeCell ref="W6:Z6"/>
    <mergeCell ref="AA6:AB6"/>
    <mergeCell ref="W20:X20"/>
    <mergeCell ref="A41:B41"/>
    <mergeCell ref="H41:M41"/>
    <mergeCell ref="R41:V41"/>
    <mergeCell ref="W5:X5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14CC-BFD8-4F93-B70F-495C195841D2}">
  <sheetPr>
    <tabColor rgb="FF00B0F0"/>
  </sheetPr>
  <dimension ref="A2:AD47"/>
  <sheetViews>
    <sheetView view="pageBreakPreview" zoomScale="90" zoomScaleNormal="100" zoomScaleSheetLayoutView="90" workbookViewId="0">
      <pane xSplit="2" ySplit="7" topLeftCell="M8" activePane="bottomRight" state="frozen"/>
      <selection activeCell="K14" sqref="K14"/>
      <selection pane="topRight" activeCell="K14" sqref="K14"/>
      <selection pane="bottomLeft" activeCell="K14" sqref="K14"/>
      <selection pane="bottomRight" activeCell="T21" sqref="T21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36" style="1" hidden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44140625" style="1" customWidth="1"/>
    <col min="25" max="25" width="7.332031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30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30" ht="21" x14ac:dyDescent="0.4">
      <c r="S4" s="4" t="s">
        <v>37</v>
      </c>
      <c r="T4" s="79">
        <f>+'24'!T4+1</f>
        <v>45863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30" s="6" customFormat="1" ht="15" customHeight="1" x14ac:dyDescent="0.3">
      <c r="A5" s="76" t="s">
        <v>0</v>
      </c>
      <c r="B5" s="5" t="s">
        <v>1</v>
      </c>
      <c r="C5" s="5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30" s="6" customFormat="1" ht="24.75" customHeight="1" x14ac:dyDescent="0.3">
      <c r="A6" s="76"/>
      <c r="B6" s="5" t="s">
        <v>2</v>
      </c>
      <c r="C6" s="5"/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30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30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+'24'!T8</f>
        <v>4</v>
      </c>
      <c r="F8" s="19">
        <f>+'24'!U8</f>
        <v>0.36249999999999982</v>
      </c>
      <c r="G8" s="17">
        <f>+'24'!V8</f>
        <v>1.4499999999999993</v>
      </c>
      <c r="H8" s="17"/>
      <c r="I8" s="18"/>
      <c r="J8" s="18">
        <f>+H8*I8</f>
        <v>0</v>
      </c>
      <c r="K8" s="16">
        <f t="shared" ref="K8:K14" si="0">+E8+H8</f>
        <v>4</v>
      </c>
      <c r="L8" s="19">
        <f t="shared" ref="L8:L14" si="1">IF(K8=0,,M8/K8)</f>
        <v>0.36249999999999982</v>
      </c>
      <c r="M8" s="19">
        <f t="shared" ref="M8:M14" si="2">+J8+G8</f>
        <v>1.4499999999999993</v>
      </c>
      <c r="N8" s="17">
        <v>2</v>
      </c>
      <c r="O8" s="18">
        <f>+N8*L8</f>
        <v>0.72499999999999964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2</v>
      </c>
      <c r="U8" s="18">
        <f t="shared" ref="U8:U14" si="5">IF(T8=0,,V8/T8)</f>
        <v>0.36249999999999982</v>
      </c>
      <c r="V8" s="18">
        <f t="shared" ref="V8:V14" si="6">+T8*L8</f>
        <v>0.72499999999999964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+Y8+'24'!AA8</f>
        <v>21</v>
      </c>
      <c r="AB8" s="29">
        <f>+Z8+'24'!AB8</f>
        <v>21</v>
      </c>
      <c r="AC8" s="27"/>
      <c r="AD8" s="27"/>
    </row>
    <row r="9" spans="1:30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+'24'!T9</f>
        <v>42</v>
      </c>
      <c r="F9" s="19">
        <f>+'24'!U9</f>
        <v>0.36249999999999993</v>
      </c>
      <c r="G9" s="17">
        <f>+'24'!V9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+Y9+'24'!AA9</f>
        <v>0</v>
      </c>
      <c r="AB9" s="29">
        <f>+Z9+'24'!AB9</f>
        <v>0</v>
      </c>
      <c r="AC9" s="27"/>
      <c r="AD9" s="27"/>
    </row>
    <row r="10" spans="1:30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+'24'!T10</f>
        <v>8</v>
      </c>
      <c r="F10" s="19">
        <f>+'24'!U10</f>
        <v>0.36249999999999999</v>
      </c>
      <c r="G10" s="17">
        <f>+'24'!V10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+Y10+'24'!AA10</f>
        <v>3</v>
      </c>
      <c r="AB10" s="29">
        <f>+Z10+'24'!AB10</f>
        <v>3</v>
      </c>
      <c r="AC10" s="27"/>
      <c r="AD10" s="27"/>
    </row>
    <row r="11" spans="1:30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+'24'!T11</f>
        <v>24</v>
      </c>
      <c r="F11" s="19">
        <f>+'24'!U11</f>
        <v>0.3</v>
      </c>
      <c r="G11" s="17">
        <f>+'24'!V11</f>
        <v>7.1999999999999993</v>
      </c>
      <c r="H11" s="17"/>
      <c r="I11" s="18"/>
      <c r="J11" s="18">
        <f t="shared" si="11"/>
        <v>0</v>
      </c>
      <c r="K11" s="16">
        <f t="shared" si="0"/>
        <v>24</v>
      </c>
      <c r="L11" s="19">
        <f t="shared" si="1"/>
        <v>0.3</v>
      </c>
      <c r="M11" s="19">
        <f t="shared" si="2"/>
        <v>7.1999999999999993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24</v>
      </c>
      <c r="U11" s="18">
        <f t="shared" si="5"/>
        <v>0.3</v>
      </c>
      <c r="V11" s="18">
        <f t="shared" si="6"/>
        <v>7.1999999999999993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+Y11+'24'!AA11</f>
        <v>2</v>
      </c>
      <c r="AB11" s="29">
        <f>+Z11+'24'!AB11</f>
        <v>2</v>
      </c>
      <c r="AC11" s="27"/>
      <c r="AD11" s="27"/>
    </row>
    <row r="12" spans="1:30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+'24'!T12</f>
        <v>6</v>
      </c>
      <c r="F12" s="19">
        <f>+'24'!U12</f>
        <v>0.36249999999999999</v>
      </c>
      <c r="G12" s="17">
        <f>+'24'!V12</f>
        <v>2.1749999999999998</v>
      </c>
      <c r="H12" s="17"/>
      <c r="I12" s="18"/>
      <c r="J12" s="18">
        <f t="shared" si="11"/>
        <v>0</v>
      </c>
      <c r="K12" s="16">
        <f t="shared" si="0"/>
        <v>6</v>
      </c>
      <c r="L12" s="19">
        <f t="shared" si="1"/>
        <v>0.36249999999999999</v>
      </c>
      <c r="M12" s="19">
        <f t="shared" si="2"/>
        <v>2.1749999999999998</v>
      </c>
      <c r="N12" s="17">
        <v>2</v>
      </c>
      <c r="O12" s="18">
        <f t="shared" si="9"/>
        <v>0.72499999999999998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4</v>
      </c>
      <c r="U12" s="18">
        <f t="shared" si="5"/>
        <v>0.36249999999999999</v>
      </c>
      <c r="V12" s="18">
        <f t="shared" si="6"/>
        <v>1.45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+Y12+'24'!AA12</f>
        <v>8</v>
      </c>
      <c r="AB12" s="29">
        <f>+Z12+'24'!AB12</f>
        <v>8</v>
      </c>
      <c r="AC12" s="27"/>
      <c r="AD12" s="27"/>
    </row>
    <row r="13" spans="1:30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+'24'!T13</f>
        <v>17</v>
      </c>
      <c r="F13" s="19">
        <f>+'24'!U13</f>
        <v>0.36249999999999999</v>
      </c>
      <c r="G13" s="17">
        <f>+'24'!V13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+Y13+'24'!AA13</f>
        <v>2</v>
      </c>
      <c r="AB13" s="29">
        <f>+Z13+'24'!AB13</f>
        <v>2</v>
      </c>
      <c r="AC13" s="27"/>
      <c r="AD13" s="27"/>
    </row>
    <row r="14" spans="1:30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+'24'!T14</f>
        <v>16</v>
      </c>
      <c r="F14" s="19">
        <f>+'24'!U14</f>
        <v>0.36249999999999999</v>
      </c>
      <c r="G14" s="17">
        <f>+'24'!V14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+Y14+'24'!AA14</f>
        <v>4</v>
      </c>
      <c r="AB14" s="29">
        <f>+Z14+'24'!AB14</f>
        <v>4</v>
      </c>
      <c r="AC14" s="27"/>
      <c r="AD14" s="27"/>
    </row>
    <row r="15" spans="1:30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117</v>
      </c>
      <c r="F15" s="5"/>
      <c r="G15" s="22">
        <f>+SUM(G8:G14)</f>
        <v>40.912499999999994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117</v>
      </c>
      <c r="L15" s="5"/>
      <c r="M15" s="22">
        <f t="shared" ref="M15:T15" si="13">+SUM(M8:M14)</f>
        <v>40.912499999999994</v>
      </c>
      <c r="N15" s="5">
        <f t="shared" si="13"/>
        <v>4</v>
      </c>
      <c r="O15" s="22">
        <f t="shared" si="13"/>
        <v>1.4499999999999997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113</v>
      </c>
      <c r="U15" s="5"/>
      <c r="V15" s="22">
        <f t="shared" ref="V15" si="14">+SUM(V8:V14)</f>
        <v>39.462499999999991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+Y15+'24'!AA15</f>
        <v>21</v>
      </c>
      <c r="AB15" s="29">
        <f>+Z15+'24'!AB15</f>
        <v>10.5</v>
      </c>
      <c r="AC15" s="25"/>
      <c r="AD15" s="25"/>
    </row>
    <row r="16" spans="1:30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+Y16+'24'!AA16</f>
        <v>9</v>
      </c>
      <c r="AB16" s="29">
        <f>+Z16+'24'!AB16</f>
        <v>11.25</v>
      </c>
      <c r="AC16" s="25"/>
      <c r="AD16" s="25"/>
    </row>
    <row r="17" spans="1:30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+'24'!T17</f>
        <v>133</v>
      </c>
      <c r="F17" s="19">
        <f>+'24'!U17</f>
        <v>0.13104010025062657</v>
      </c>
      <c r="G17" s="19">
        <f>+'24'!V17</f>
        <v>17.428333333333335</v>
      </c>
      <c r="H17" s="17"/>
      <c r="I17" s="18"/>
      <c r="J17" s="18">
        <f t="shared" ref="J17" si="15">+H17*I17</f>
        <v>0</v>
      </c>
      <c r="K17" s="16">
        <f>+E17+H17</f>
        <v>133</v>
      </c>
      <c r="L17" s="19">
        <f t="shared" ref="L17" si="16">IF(K17=0,,M17/K17)</f>
        <v>0.13104010025062657</v>
      </c>
      <c r="M17" s="19">
        <f>+J17+G17</f>
        <v>17.428333333333335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133</v>
      </c>
      <c r="U17" s="18">
        <f t="shared" ref="U17" si="21">IF(T17=0,,V17/T17)</f>
        <v>0.13104010025062657</v>
      </c>
      <c r="V17" s="18">
        <f t="shared" ref="V17" si="22">+T17*L17</f>
        <v>17.428333333333335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+Y17+'24'!AA17</f>
        <v>13</v>
      </c>
      <c r="AB17" s="29">
        <f>+Z17+'24'!AB17</f>
        <v>16.25</v>
      </c>
      <c r="AC17" s="27"/>
      <c r="AD17" s="27"/>
    </row>
    <row r="18" spans="1:30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133</v>
      </c>
      <c r="F18" s="5"/>
      <c r="G18" s="22">
        <f>+G17</f>
        <v>17.428333333333335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133</v>
      </c>
      <c r="L18" s="5"/>
      <c r="M18" s="22">
        <f t="shared" ref="M18:T18" si="25">+M17</f>
        <v>17.428333333333335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133</v>
      </c>
      <c r="U18" s="5"/>
      <c r="V18" s="22">
        <f t="shared" ref="V18" si="26">+V17</f>
        <v>17.428333333333335</v>
      </c>
      <c r="Y18" s="34">
        <f>+$R$22</f>
        <v>0</v>
      </c>
      <c r="Z18" s="26">
        <f t="shared" si="7"/>
        <v>0</v>
      </c>
      <c r="AA18" s="35">
        <f>+Y18+'24'!AA18</f>
        <v>0</v>
      </c>
      <c r="AB18" s="29">
        <f>+Z18+'24'!AB18</f>
        <v>0</v>
      </c>
      <c r="AC18" s="25"/>
      <c r="AD18" s="25"/>
    </row>
    <row r="19" spans="1:30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+Y19+'24'!AA19</f>
        <v>0</v>
      </c>
      <c r="AB19" s="29">
        <f>+Z19+'24'!AB19</f>
        <v>0</v>
      </c>
      <c r="AC19" s="25"/>
      <c r="AD19" s="25"/>
    </row>
    <row r="20" spans="1:30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+'24'!T20</f>
        <v>23</v>
      </c>
      <c r="F20" s="19">
        <f>+'24'!U20</f>
        <v>0.48</v>
      </c>
      <c r="G20" s="17">
        <f>+'24'!V20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83</v>
      </c>
      <c r="AB20" s="31">
        <f>+SUM(AB8:AB19)</f>
        <v>78</v>
      </c>
    </row>
    <row r="21" spans="1:30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+'24'!T21</f>
        <v>16</v>
      </c>
      <c r="F21" s="19">
        <f>+'24'!U21</f>
        <v>0.65000000000000013</v>
      </c>
      <c r="G21" s="17">
        <f>+'24'!V21</f>
        <v>10.400000000000002</v>
      </c>
      <c r="H21" s="17"/>
      <c r="I21" s="18"/>
      <c r="J21" s="18">
        <f t="shared" si="28"/>
        <v>0</v>
      </c>
      <c r="K21" s="16">
        <f t="shared" si="29"/>
        <v>16</v>
      </c>
      <c r="L21" s="19">
        <f t="shared" si="30"/>
        <v>0.65000000000000013</v>
      </c>
      <c r="M21" s="19">
        <f t="shared" si="31"/>
        <v>10.400000000000002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16</v>
      </c>
      <c r="U21" s="18">
        <f t="shared" si="35"/>
        <v>0.65000000000000013</v>
      </c>
      <c r="V21" s="18">
        <f t="shared" si="36"/>
        <v>10.400000000000002</v>
      </c>
    </row>
    <row r="22" spans="1:30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+'24'!T22</f>
        <v>0</v>
      </c>
      <c r="F22" s="19">
        <f>+'24'!U22</f>
        <v>0</v>
      </c>
      <c r="G22" s="17">
        <f>+'24'!V22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30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+'24'!T23</f>
        <v>0</v>
      </c>
      <c r="F23" s="19">
        <f>+'24'!U23</f>
        <v>0</v>
      </c>
      <c r="G23" s="17">
        <f>+'24'!V23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30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+'24'!T24</f>
        <v>0</v>
      </c>
      <c r="F24" s="19">
        <f>+'24'!U24</f>
        <v>0</v>
      </c>
      <c r="G24" s="17">
        <f>+'24'!V24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30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+'24'!T25</f>
        <v>0</v>
      </c>
      <c r="F25" s="19">
        <f>+'24'!U25</f>
        <v>0</v>
      </c>
      <c r="G25" s="17">
        <f>+'24'!V25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30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+'24'!T26</f>
        <v>0</v>
      </c>
      <c r="F26" s="19">
        <f>+'24'!U26</f>
        <v>0</v>
      </c>
      <c r="G26" s="17">
        <f>+'24'!V26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30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+'24'!T27</f>
        <v>0</v>
      </c>
      <c r="F27" s="19">
        <f>+'24'!U27</f>
        <v>0</v>
      </c>
      <c r="G27" s="17">
        <f>+'24'!V27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30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+'24'!T28</f>
        <v>0</v>
      </c>
      <c r="F28" s="19">
        <f>+'24'!U28</f>
        <v>0</v>
      </c>
      <c r="G28" s="17">
        <f>+'24'!V28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30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+'24'!T29</f>
        <v>0</v>
      </c>
      <c r="F29" s="19">
        <f>+'24'!U29</f>
        <v>0</v>
      </c>
      <c r="G29" s="17">
        <f>+'24'!V29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30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+'24'!T30</f>
        <v>0</v>
      </c>
      <c r="F30" s="19">
        <f>+'24'!U30</f>
        <v>0</v>
      </c>
      <c r="G30" s="17">
        <f>+'24'!V30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30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+'24'!T31</f>
        <v>0</v>
      </c>
      <c r="F31" s="19">
        <f>+'24'!U31</f>
        <v>0</v>
      </c>
      <c r="G31" s="17">
        <f>+'24'!V31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30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+'24'!T32</f>
        <v>0</v>
      </c>
      <c r="F32" s="19">
        <f>+'24'!U32</f>
        <v>0</v>
      </c>
      <c r="G32" s="17">
        <f>+'24'!V32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+'24'!T33</f>
        <v>0</v>
      </c>
      <c r="F33" s="19">
        <f>+'24'!U33</f>
        <v>0</v>
      </c>
      <c r="G33" s="17">
        <f>+'24'!V33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+'24'!T34</f>
        <v>0</v>
      </c>
      <c r="F34" s="19">
        <f>+'24'!U34</f>
        <v>0</v>
      </c>
      <c r="G34" s="17">
        <f>+'24'!V34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+'24'!T35</f>
        <v>0</v>
      </c>
      <c r="F35" s="19">
        <f>+'24'!U35</f>
        <v>0</v>
      </c>
      <c r="G35" s="17">
        <f>+'24'!V35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+'24'!T36</f>
        <v>0</v>
      </c>
      <c r="F36" s="19">
        <f>+'24'!U36</f>
        <v>0</v>
      </c>
      <c r="G36" s="17">
        <f>+'24'!V36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+'24'!T37</f>
        <v>0</v>
      </c>
      <c r="F37" s="19">
        <f>+'24'!U37</f>
        <v>0</v>
      </c>
      <c r="G37" s="17">
        <f>+'24'!V37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39</v>
      </c>
      <c r="F38" s="5"/>
      <c r="G38" s="22">
        <f>+SUM(G20:G37)</f>
        <v>21.44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39</v>
      </c>
      <c r="L38" s="5"/>
      <c r="M38" s="22">
        <f t="shared" ref="M38:T38" si="41">+SUM(M20:M37)</f>
        <v>21.44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39</v>
      </c>
      <c r="U38" s="5"/>
      <c r="V38" s="22">
        <f t="shared" ref="V38" si="42">+SUM(V20:V37)</f>
        <v>21.44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289</v>
      </c>
      <c r="F39" s="5"/>
      <c r="G39" s="22">
        <f>+SUM(G7:G38)/2</f>
        <v>79.780833333333334</v>
      </c>
      <c r="H39" s="5">
        <f>+SUM(H7:H38)/2</f>
        <v>0</v>
      </c>
      <c r="I39" s="5"/>
      <c r="J39" s="22">
        <f>+SUM(J7:J38)/2</f>
        <v>0</v>
      </c>
      <c r="K39" s="5">
        <f>+SUM(K7:K38)/2</f>
        <v>289</v>
      </c>
      <c r="L39" s="5"/>
      <c r="M39" s="22">
        <f t="shared" ref="M39:T39" si="43">+SUM(M7:M38)/2</f>
        <v>79.780833333333334</v>
      </c>
      <c r="N39" s="5">
        <f t="shared" si="43"/>
        <v>4</v>
      </c>
      <c r="O39" s="22">
        <f t="shared" si="43"/>
        <v>1.4499999999999997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285</v>
      </c>
      <c r="U39" s="5"/>
      <c r="V39" s="22">
        <f>+SUM(V7:V38)/2</f>
        <v>78.330833333333331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C41" s="2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C47" s="2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29">
    <mergeCell ref="A47:B47"/>
    <mergeCell ref="H47:M47"/>
    <mergeCell ref="R47:V47"/>
    <mergeCell ref="A2:V2"/>
    <mergeCell ref="A5:A6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H6:J6"/>
    <mergeCell ref="W4:AB4"/>
    <mergeCell ref="W6:Z6"/>
    <mergeCell ref="AA6:AB6"/>
    <mergeCell ref="W20:X20"/>
    <mergeCell ref="A41:B41"/>
    <mergeCell ref="H41:M41"/>
    <mergeCell ref="R41:V41"/>
    <mergeCell ref="W5:X5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2B3D-64CE-4845-9EC6-D29FA3288C50}">
  <sheetPr>
    <tabColor rgb="FF00B0F0"/>
  </sheetPr>
  <dimension ref="A2:AC47"/>
  <sheetViews>
    <sheetView tabSelected="1" view="pageBreakPreview" zoomScaleNormal="100" zoomScaleSheetLayoutView="100" workbookViewId="0">
      <pane xSplit="2" ySplit="7" topLeftCell="L8" activePane="bottomRight" state="frozen"/>
      <selection activeCell="K14" sqref="K14"/>
      <selection pane="topRight" activeCell="K14" sqref="K14"/>
      <selection pane="bottomLeft" activeCell="K14" sqref="K14"/>
      <selection pane="bottomRight" activeCell="R13" sqref="R13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hidden="1" customWidth="1"/>
    <col min="4" max="4" width="5.5546875" style="1" customWidth="1"/>
    <col min="5" max="5" width="9.109375" style="1"/>
    <col min="6" max="6" width="9.109375" style="4"/>
    <col min="7" max="7" width="9.8867187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9.8867187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9.88671875" style="4" bestFit="1" customWidth="1"/>
    <col min="23" max="23" width="9.109375" style="1" customWidth="1"/>
    <col min="24" max="24" width="26.5546875" style="1" customWidth="1"/>
    <col min="25" max="25" width="5.55468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+'25'!T4+1</f>
        <v>45864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+'25'!T8</f>
        <v>2</v>
      </c>
      <c r="F8" s="19">
        <f>+'25'!U8</f>
        <v>0.36249999999999982</v>
      </c>
      <c r="G8" s="17">
        <f>+'25'!V8</f>
        <v>0.72499999999999964</v>
      </c>
      <c r="H8" s="17"/>
      <c r="I8" s="18"/>
      <c r="J8" s="18">
        <f>+H8*I8</f>
        <v>0</v>
      </c>
      <c r="K8" s="16">
        <f t="shared" ref="K8:K14" si="0">+E8+H8</f>
        <v>2</v>
      </c>
      <c r="L8" s="19">
        <f t="shared" ref="L8:L14" si="1">IF(K8=0,,M8/K8)</f>
        <v>0.36249999999999982</v>
      </c>
      <c r="M8" s="19">
        <f t="shared" ref="M8:M14" si="2">+J8+G8</f>
        <v>0.72499999999999964</v>
      </c>
      <c r="N8" s="17"/>
      <c r="O8" s="18">
        <f>+N8*L8</f>
        <v>0</v>
      </c>
      <c r="P8" s="17"/>
      <c r="Q8" s="18">
        <f>+P8*L8</f>
        <v>0</v>
      </c>
      <c r="R8" s="17">
        <v>1</v>
      </c>
      <c r="S8" s="18">
        <f t="shared" ref="S8:S14" si="3">+R8*L8</f>
        <v>0.36249999999999982</v>
      </c>
      <c r="T8" s="17">
        <f t="shared" ref="T8:T14" si="4">+K8-N8-P8-R8</f>
        <v>1</v>
      </c>
      <c r="U8" s="18">
        <f t="shared" ref="U8:U14" si="5">IF(T8=0,,V8/T8)</f>
        <v>0.36249999999999982</v>
      </c>
      <c r="V8" s="18">
        <f t="shared" ref="V8:V14" si="6">+T8*L8</f>
        <v>0.36249999999999982</v>
      </c>
      <c r="W8" s="1" t="str">
        <f>+$B$8</f>
        <v>Cocacola Classic 330ml (24cans)</v>
      </c>
      <c r="Y8" s="2">
        <f>+$R$8</f>
        <v>1</v>
      </c>
      <c r="Z8" s="26">
        <f t="shared" ref="Z8:Z19" si="7">+Y8*1</f>
        <v>1</v>
      </c>
      <c r="AA8" s="35">
        <f>+Y8+'25'!AA8</f>
        <v>22</v>
      </c>
      <c r="AB8" s="30">
        <f>+Z8+'25'!AB8</f>
        <v>22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+'25'!T9</f>
        <v>42</v>
      </c>
      <c r="F9" s="19">
        <f>+'25'!U9</f>
        <v>0.36249999999999993</v>
      </c>
      <c r="G9" s="17">
        <f>+'25'!V9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+Y9+'25'!AA9</f>
        <v>0</v>
      </c>
      <c r="AB9" s="30">
        <f>+Z9+'25'!AB9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+'25'!T10</f>
        <v>8</v>
      </c>
      <c r="F10" s="19">
        <f>+'25'!U10</f>
        <v>0.36249999999999999</v>
      </c>
      <c r="G10" s="17">
        <f>+'25'!V10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+Y10+'25'!AA10</f>
        <v>3</v>
      </c>
      <c r="AB10" s="30">
        <f>+Z10+'25'!AB10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+'25'!T11</f>
        <v>24</v>
      </c>
      <c r="F11" s="19">
        <f>+'25'!U11</f>
        <v>0.3</v>
      </c>
      <c r="G11" s="17">
        <f>+'25'!V11</f>
        <v>7.1999999999999993</v>
      </c>
      <c r="H11" s="17"/>
      <c r="I11" s="18"/>
      <c r="J11" s="18">
        <f t="shared" si="11"/>
        <v>0</v>
      </c>
      <c r="K11" s="16">
        <f t="shared" si="0"/>
        <v>24</v>
      </c>
      <c r="L11" s="19">
        <f t="shared" si="1"/>
        <v>0.3</v>
      </c>
      <c r="M11" s="19">
        <f t="shared" si="2"/>
        <v>7.1999999999999993</v>
      </c>
      <c r="N11" s="17"/>
      <c r="O11" s="18">
        <f t="shared" si="9"/>
        <v>0</v>
      </c>
      <c r="P11" s="17"/>
      <c r="Q11" s="18">
        <f t="shared" si="10"/>
        <v>0</v>
      </c>
      <c r="R11" s="17">
        <v>2</v>
      </c>
      <c r="S11" s="18">
        <f t="shared" si="3"/>
        <v>0.6</v>
      </c>
      <c r="T11" s="17">
        <f t="shared" si="4"/>
        <v>22</v>
      </c>
      <c r="U11" s="18">
        <f t="shared" si="5"/>
        <v>0.3</v>
      </c>
      <c r="V11" s="18">
        <f t="shared" si="6"/>
        <v>6.6</v>
      </c>
      <c r="W11" s="1" t="str">
        <f>+$B$11</f>
        <v>Sprite 330ml (24cans)</v>
      </c>
      <c r="Y11" s="2">
        <f>+$R$11</f>
        <v>2</v>
      </c>
      <c r="Z11" s="26">
        <f t="shared" si="7"/>
        <v>2</v>
      </c>
      <c r="AA11" s="35">
        <f>+Y11+'25'!AA11</f>
        <v>4</v>
      </c>
      <c r="AB11" s="30">
        <f>+Z11+'25'!AB11</f>
        <v>4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+'25'!T12</f>
        <v>4</v>
      </c>
      <c r="F12" s="19">
        <f>+'25'!U12</f>
        <v>0.36249999999999999</v>
      </c>
      <c r="G12" s="17">
        <f>+'25'!V12</f>
        <v>1.45</v>
      </c>
      <c r="H12" s="17"/>
      <c r="I12" s="18"/>
      <c r="J12" s="18">
        <f t="shared" si="11"/>
        <v>0</v>
      </c>
      <c r="K12" s="16">
        <f t="shared" si="0"/>
        <v>4</v>
      </c>
      <c r="L12" s="19">
        <f t="shared" si="1"/>
        <v>0.36249999999999999</v>
      </c>
      <c r="M12" s="19">
        <f t="shared" si="2"/>
        <v>1.45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4</v>
      </c>
      <c r="U12" s="18">
        <f t="shared" si="5"/>
        <v>0.36249999999999999</v>
      </c>
      <c r="V12" s="18">
        <f t="shared" si="6"/>
        <v>1.45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+Y12+'25'!AA12</f>
        <v>8</v>
      </c>
      <c r="AB12" s="30">
        <f>+Z12+'25'!AB12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+'25'!T13</f>
        <v>17</v>
      </c>
      <c r="F13" s="19">
        <f>+'25'!U13</f>
        <v>0.36249999999999999</v>
      </c>
      <c r="G13" s="17">
        <f>+'25'!V13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+Y13+'25'!AA13</f>
        <v>2</v>
      </c>
      <c r="AB13" s="30">
        <f>+Z13+'25'!AB13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+'25'!T14</f>
        <v>16</v>
      </c>
      <c r="F14" s="19">
        <f>+'25'!U14</f>
        <v>0.36249999999999999</v>
      </c>
      <c r="G14" s="17">
        <f>+'25'!V14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+Y14+'25'!AA14</f>
        <v>4</v>
      </c>
      <c r="AB14" s="30">
        <f>+Z14+'25'!AB14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113</v>
      </c>
      <c r="F15" s="5"/>
      <c r="G15" s="22">
        <f>+SUM(G8:G14)</f>
        <v>39.462499999999991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113</v>
      </c>
      <c r="L15" s="5"/>
      <c r="M15" s="22">
        <f t="shared" ref="M15:T15" si="13">+SUM(M8:M14)</f>
        <v>39.462499999999991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3</v>
      </c>
      <c r="S15" s="22">
        <f t="shared" si="13"/>
        <v>0.9624999999999998</v>
      </c>
      <c r="T15" s="5">
        <f t="shared" si="13"/>
        <v>110</v>
      </c>
      <c r="U15" s="5"/>
      <c r="V15" s="22">
        <f t="shared" ref="V15" si="14">+SUM(V8:V14)</f>
        <v>38.499999999999993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5">
        <f>+Y15+'25'!AA15</f>
        <v>21</v>
      </c>
      <c r="AB15" s="30">
        <f>+Z15+'25'!AB15</f>
        <v>10.5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+Y16+'25'!AA16</f>
        <v>9</v>
      </c>
      <c r="AB16" s="30">
        <f>+Z16+'25'!AB16</f>
        <v>11.25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+'25'!T17</f>
        <v>133</v>
      </c>
      <c r="F17" s="19">
        <f>+'25'!U17</f>
        <v>0.13104010025062657</v>
      </c>
      <c r="G17" s="19">
        <f>+'25'!V17</f>
        <v>17.428333333333335</v>
      </c>
      <c r="H17" s="17"/>
      <c r="I17" s="18"/>
      <c r="J17" s="18">
        <f t="shared" ref="J17" si="15">+H17*I17</f>
        <v>0</v>
      </c>
      <c r="K17" s="16">
        <f>+E17+H17</f>
        <v>133</v>
      </c>
      <c r="L17" s="19">
        <f t="shared" ref="L17" si="16">IF(K17=0,,M17/K17)</f>
        <v>0.13104010025062657</v>
      </c>
      <c r="M17" s="19">
        <f>+J17+G17</f>
        <v>17.428333333333335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133</v>
      </c>
      <c r="U17" s="18">
        <f t="shared" ref="U17" si="21">IF(T17=0,,V17/T17)</f>
        <v>0.13104010025062657</v>
      </c>
      <c r="V17" s="18">
        <f t="shared" ref="V17" si="22">+T17*L17</f>
        <v>17.428333333333335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+Y17+'25'!AA17</f>
        <v>13</v>
      </c>
      <c r="AB17" s="30">
        <f>+Z17+'25'!AB17</f>
        <v>16.25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133</v>
      </c>
      <c r="F18" s="5"/>
      <c r="G18" s="22">
        <f>+G17</f>
        <v>17.428333333333335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133</v>
      </c>
      <c r="L18" s="5"/>
      <c r="M18" s="22">
        <f t="shared" ref="M18:T18" si="25">+M17</f>
        <v>17.428333333333335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133</v>
      </c>
      <c r="U18" s="5"/>
      <c r="V18" s="22">
        <f t="shared" ref="V18" si="26">+V17</f>
        <v>17.428333333333335</v>
      </c>
      <c r="Y18" s="34">
        <f>+$R$22</f>
        <v>0</v>
      </c>
      <c r="Z18" s="26">
        <f t="shared" si="7"/>
        <v>0</v>
      </c>
      <c r="AA18" s="35">
        <f>+Y18+'25'!AA18</f>
        <v>0</v>
      </c>
      <c r="AB18" s="30">
        <f>+Z18+'25'!AB18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+Y19+'25'!AA19</f>
        <v>0</v>
      </c>
      <c r="AB19" s="30">
        <f>+Z19+'25'!AB19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+'25'!T20</f>
        <v>23</v>
      </c>
      <c r="F20" s="19">
        <f>+'25'!U20</f>
        <v>0.48</v>
      </c>
      <c r="G20" s="17">
        <f>+'25'!V20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3</v>
      </c>
      <c r="Z20" s="31">
        <f>+SUM(Z8:Z19)</f>
        <v>3</v>
      </c>
      <c r="AA20" s="28">
        <f>+SUM(AA8:AA19)</f>
        <v>86</v>
      </c>
      <c r="AB20" s="31">
        <f>+SUM(AB8:AB19)</f>
        <v>81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+'25'!T21</f>
        <v>16</v>
      </c>
      <c r="F21" s="19">
        <f>+'25'!U21</f>
        <v>0.65000000000000013</v>
      </c>
      <c r="G21" s="17">
        <f>+'25'!V21</f>
        <v>10.400000000000002</v>
      </c>
      <c r="H21" s="17"/>
      <c r="I21" s="18"/>
      <c r="J21" s="18">
        <f t="shared" si="28"/>
        <v>0</v>
      </c>
      <c r="K21" s="16">
        <f t="shared" si="29"/>
        <v>16</v>
      </c>
      <c r="L21" s="19">
        <f t="shared" si="30"/>
        <v>0.65000000000000013</v>
      </c>
      <c r="M21" s="19">
        <f t="shared" si="31"/>
        <v>10.400000000000002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16</v>
      </c>
      <c r="U21" s="18">
        <f t="shared" si="35"/>
        <v>0.65000000000000013</v>
      </c>
      <c r="V21" s="18">
        <f t="shared" si="36"/>
        <v>10.400000000000002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+'25'!T22</f>
        <v>0</v>
      </c>
      <c r="F22" s="19">
        <f>+'25'!U22</f>
        <v>0</v>
      </c>
      <c r="G22" s="17">
        <f>+'25'!V22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+'25'!T23</f>
        <v>0</v>
      </c>
      <c r="F23" s="19">
        <f>+'25'!U23</f>
        <v>0</v>
      </c>
      <c r="G23" s="17">
        <f>+'25'!V23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+'25'!T24</f>
        <v>0</v>
      </c>
      <c r="F24" s="19">
        <f>+'25'!U24</f>
        <v>0</v>
      </c>
      <c r="G24" s="17">
        <f>+'25'!V24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+'25'!T25</f>
        <v>0</v>
      </c>
      <c r="F25" s="19">
        <f>+'25'!U25</f>
        <v>0</v>
      </c>
      <c r="G25" s="17">
        <f>+'25'!V25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+'25'!T26</f>
        <v>0</v>
      </c>
      <c r="F26" s="19">
        <f>+'25'!U26</f>
        <v>0</v>
      </c>
      <c r="G26" s="17">
        <f>+'25'!V26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+'25'!T27</f>
        <v>0</v>
      </c>
      <c r="F27" s="19">
        <f>+'25'!U27</f>
        <v>0</v>
      </c>
      <c r="G27" s="17">
        <f>+'25'!V27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+'25'!T28</f>
        <v>0</v>
      </c>
      <c r="F28" s="19">
        <f>+'25'!U28</f>
        <v>0</v>
      </c>
      <c r="G28" s="17">
        <f>+'25'!V28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+'25'!T29</f>
        <v>0</v>
      </c>
      <c r="F29" s="19">
        <f>+'25'!U29</f>
        <v>0</v>
      </c>
      <c r="G29" s="17">
        <f>+'25'!V29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+'25'!T30</f>
        <v>0</v>
      </c>
      <c r="F30" s="19">
        <f>+'25'!U30</f>
        <v>0</v>
      </c>
      <c r="G30" s="17">
        <f>+'25'!V30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+'25'!T31</f>
        <v>0</v>
      </c>
      <c r="F31" s="19">
        <f>+'25'!U31</f>
        <v>0</v>
      </c>
      <c r="G31" s="17">
        <f>+'25'!V31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+'25'!T32</f>
        <v>0</v>
      </c>
      <c r="F32" s="19">
        <f>+'25'!U32</f>
        <v>0</v>
      </c>
      <c r="G32" s="17">
        <f>+'25'!V32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+'25'!T33</f>
        <v>0</v>
      </c>
      <c r="F33" s="19">
        <f>+'25'!U33</f>
        <v>0</v>
      </c>
      <c r="G33" s="17">
        <f>+'25'!V33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+'25'!T34</f>
        <v>0</v>
      </c>
      <c r="F34" s="19">
        <f>+'25'!U34</f>
        <v>0</v>
      </c>
      <c r="G34" s="17">
        <f>+'25'!V34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+'25'!T35</f>
        <v>0</v>
      </c>
      <c r="F35" s="19">
        <f>+'25'!U35</f>
        <v>0</v>
      </c>
      <c r="G35" s="17">
        <f>+'25'!V35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+'25'!T36</f>
        <v>0</v>
      </c>
      <c r="F36" s="19">
        <f>+'25'!U36</f>
        <v>0</v>
      </c>
      <c r="G36" s="17">
        <f>+'25'!V36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+'25'!T37</f>
        <v>0</v>
      </c>
      <c r="F37" s="19">
        <f>+'25'!U37</f>
        <v>0</v>
      </c>
      <c r="G37" s="17">
        <f>+'25'!V37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39</v>
      </c>
      <c r="F38" s="5"/>
      <c r="G38" s="22">
        <f>+SUM(G20:G37)</f>
        <v>21.44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39</v>
      </c>
      <c r="L38" s="5"/>
      <c r="M38" s="22">
        <f t="shared" ref="M38:T38" si="41">+SUM(M20:M37)</f>
        <v>21.44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39</v>
      </c>
      <c r="U38" s="5"/>
      <c r="V38" s="22">
        <f t="shared" ref="V38" si="42">+SUM(V20:V37)</f>
        <v>21.44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285</v>
      </c>
      <c r="F39" s="5"/>
      <c r="G39" s="22">
        <f>+SUM(G7:G38)/2</f>
        <v>78.330833333333331</v>
      </c>
      <c r="H39" s="5">
        <f>+SUM(H7:H38)/2</f>
        <v>0</v>
      </c>
      <c r="I39" s="5"/>
      <c r="J39" s="22">
        <f>+SUM(J7:J38)/2</f>
        <v>0</v>
      </c>
      <c r="K39" s="5">
        <f>+SUM(K7:K38)/2</f>
        <v>285</v>
      </c>
      <c r="L39" s="5"/>
      <c r="M39" s="22">
        <f t="shared" ref="M39:T39" si="43">+SUM(M7:M38)/2</f>
        <v>78.330833333333331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3</v>
      </c>
      <c r="S39" s="22">
        <f t="shared" si="43"/>
        <v>0.9624999999999998</v>
      </c>
      <c r="T39" s="5">
        <f t="shared" si="43"/>
        <v>282</v>
      </c>
      <c r="U39" s="5"/>
      <c r="V39" s="22">
        <f>+SUM(V7:V38)/2</f>
        <v>77.368333333333325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4961-43A5-42DC-84D4-747C6067FA48}">
  <sheetPr>
    <tabColor rgb="FF00B0F0"/>
  </sheetPr>
  <dimension ref="A2:AC47"/>
  <sheetViews>
    <sheetView view="pageBreakPreview" zoomScale="90" zoomScaleNormal="100" zoomScaleSheetLayoutView="90" workbookViewId="0">
      <pane xSplit="2" ySplit="7" topLeftCell="L8" activePane="bottomRight" state="frozen"/>
      <selection activeCell="K14" sqref="K14"/>
      <selection pane="topRight" activeCell="K14" sqref="K14"/>
      <selection pane="bottomLeft" activeCell="K14" sqref="K14"/>
      <selection pane="bottomRight" activeCell="R12" sqref="R12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4.6640625" style="1" customWidth="1"/>
    <col min="25" max="25" width="7.10937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+'26'!T4+1</f>
        <v>45865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+'26'!T8</f>
        <v>1</v>
      </c>
      <c r="F8" s="19">
        <f>+'26'!U8</f>
        <v>0.36249999999999982</v>
      </c>
      <c r="G8" s="17">
        <f>+'26'!V8</f>
        <v>0.36249999999999982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0.36249999999999982</v>
      </c>
      <c r="M8" s="19">
        <f t="shared" ref="M8:M14" si="2">+J8+G8</f>
        <v>0.36249999999999982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1</v>
      </c>
      <c r="U8" s="18">
        <f t="shared" ref="U8:U14" si="5">IF(T8=0,,V8/T8)</f>
        <v>0.36249999999999982</v>
      </c>
      <c r="V8" s="18">
        <f t="shared" ref="V8:V14" si="6">+T8*L8</f>
        <v>0.36249999999999982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5">
        <f>+Y8+'26'!AA8</f>
        <v>22</v>
      </c>
      <c r="AB8" s="30">
        <f>+Z8+'26'!AB8</f>
        <v>22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+'26'!T9</f>
        <v>42</v>
      </c>
      <c r="F9" s="19">
        <f>+'26'!U9</f>
        <v>0.36249999999999993</v>
      </c>
      <c r="G9" s="17">
        <f>+'26'!V9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5">
        <f>+Y9+'26'!AA9</f>
        <v>0</v>
      </c>
      <c r="AB9" s="30">
        <f>+Z9+'26'!AB9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+'26'!T10</f>
        <v>8</v>
      </c>
      <c r="F10" s="19">
        <f>+'26'!U10</f>
        <v>0.36249999999999999</v>
      </c>
      <c r="G10" s="17">
        <f>+'26'!V10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5">
        <f>+Y10+'26'!AA10</f>
        <v>3</v>
      </c>
      <c r="AB10" s="30">
        <f>+Z10+'26'!AB10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+'26'!T11</f>
        <v>22</v>
      </c>
      <c r="F11" s="19">
        <f>+'26'!U11</f>
        <v>0.3</v>
      </c>
      <c r="G11" s="17">
        <f>+'26'!V11</f>
        <v>6.6</v>
      </c>
      <c r="H11" s="17"/>
      <c r="I11" s="18"/>
      <c r="J11" s="18">
        <f t="shared" si="11"/>
        <v>0</v>
      </c>
      <c r="K11" s="16">
        <f t="shared" si="0"/>
        <v>22</v>
      </c>
      <c r="L11" s="19">
        <f t="shared" si="1"/>
        <v>0.3</v>
      </c>
      <c r="M11" s="19">
        <f t="shared" si="2"/>
        <v>6.6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22</v>
      </c>
      <c r="U11" s="18">
        <f t="shared" si="5"/>
        <v>0.3</v>
      </c>
      <c r="V11" s="18">
        <f t="shared" si="6"/>
        <v>6.6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5">
        <f>+Y11+'26'!AA11</f>
        <v>4</v>
      </c>
      <c r="AB11" s="30">
        <f>+Z11+'26'!AB11</f>
        <v>4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+'26'!T12</f>
        <v>4</v>
      </c>
      <c r="F12" s="19">
        <f>+'26'!U12</f>
        <v>0.36249999999999999</v>
      </c>
      <c r="G12" s="17">
        <f>+'26'!V12</f>
        <v>1.45</v>
      </c>
      <c r="H12" s="17"/>
      <c r="I12" s="18"/>
      <c r="J12" s="18">
        <f t="shared" si="11"/>
        <v>0</v>
      </c>
      <c r="K12" s="16">
        <f t="shared" si="0"/>
        <v>4</v>
      </c>
      <c r="L12" s="19">
        <f t="shared" si="1"/>
        <v>0.36249999999999999</v>
      </c>
      <c r="M12" s="19">
        <f t="shared" si="2"/>
        <v>1.45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4</v>
      </c>
      <c r="U12" s="18">
        <f t="shared" si="5"/>
        <v>0.36249999999999999</v>
      </c>
      <c r="V12" s="18">
        <f t="shared" si="6"/>
        <v>1.45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5">
        <f>+Y12+'26'!AA12</f>
        <v>8</v>
      </c>
      <c r="AB12" s="30">
        <f>+Z12+'26'!AB12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+'26'!T13</f>
        <v>17</v>
      </c>
      <c r="F13" s="19">
        <f>+'26'!U13</f>
        <v>0.36249999999999999</v>
      </c>
      <c r="G13" s="17">
        <f>+'26'!V13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5">
        <f>+Y13+'26'!AA13</f>
        <v>2</v>
      </c>
      <c r="AB13" s="30">
        <f>+Z13+'26'!AB13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+'26'!T14</f>
        <v>16</v>
      </c>
      <c r="F14" s="19">
        <f>+'26'!U14</f>
        <v>0.36249999999999999</v>
      </c>
      <c r="G14" s="17">
        <f>+'26'!V14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5">
        <f>+Y14+'26'!AA14</f>
        <v>4</v>
      </c>
      <c r="AB14" s="30">
        <f>+Z14+'26'!AB14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110</v>
      </c>
      <c r="F15" s="5"/>
      <c r="G15" s="22">
        <f>+SUM(G8:G14)</f>
        <v>38.499999999999993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110</v>
      </c>
      <c r="L15" s="5"/>
      <c r="M15" s="22">
        <f t="shared" ref="M15:T15" si="13">+SUM(M8:M14)</f>
        <v>38.499999999999993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110</v>
      </c>
      <c r="U15" s="5"/>
      <c r="V15" s="22">
        <f t="shared" ref="V15" si="14">+SUM(V8:V14)</f>
        <v>38.499999999999993</v>
      </c>
      <c r="W15" s="1" t="str">
        <f>+$B$17</f>
        <v>Dasani 500ml (24 Btl)</v>
      </c>
      <c r="Y15" s="2">
        <f>+$R$17</f>
        <v>2</v>
      </c>
      <c r="Z15" s="26">
        <f>+Y15*0.5</f>
        <v>1</v>
      </c>
      <c r="AA15" s="35">
        <f>+Y15+'26'!AA15</f>
        <v>23</v>
      </c>
      <c r="AB15" s="30">
        <f>+Z15+'26'!AB15</f>
        <v>11.5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5">
        <f>+Y16+'26'!AA16</f>
        <v>9</v>
      </c>
      <c r="AB16" s="30">
        <f>+Z16+'26'!AB16</f>
        <v>11.25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+'26'!T17</f>
        <v>133</v>
      </c>
      <c r="F17" s="19">
        <f>+'26'!U17</f>
        <v>0.13104010025062657</v>
      </c>
      <c r="G17" s="19">
        <f>+'26'!V17</f>
        <v>17.428333333333335</v>
      </c>
      <c r="H17" s="17"/>
      <c r="I17" s="18"/>
      <c r="J17" s="18">
        <f t="shared" ref="J17" si="15">+H17*I17</f>
        <v>0</v>
      </c>
      <c r="K17" s="16">
        <f>+E17+H17</f>
        <v>133</v>
      </c>
      <c r="L17" s="19">
        <f t="shared" ref="L17" si="16">IF(K17=0,,M17/K17)</f>
        <v>0.13104010025062657</v>
      </c>
      <c r="M17" s="19">
        <f>+J17+G17</f>
        <v>17.428333333333335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2</v>
      </c>
      <c r="S17" s="18">
        <f t="shared" ref="S17" si="19">+R17*L17</f>
        <v>0.26208020050125314</v>
      </c>
      <c r="T17" s="17">
        <f t="shared" ref="T17" si="20">+K17-N17-P17-R17</f>
        <v>131</v>
      </c>
      <c r="U17" s="18">
        <f t="shared" ref="U17" si="21">IF(T17=0,,V17/T17)</f>
        <v>0.13104010025062657</v>
      </c>
      <c r="V17" s="18">
        <f t="shared" ref="V17" si="22">+T17*L17</f>
        <v>17.166253132832079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5">
        <f>+Y17+'26'!AA17</f>
        <v>13</v>
      </c>
      <c r="AB17" s="30">
        <f>+Z17+'26'!AB17</f>
        <v>16.25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133</v>
      </c>
      <c r="F18" s="5"/>
      <c r="G18" s="22">
        <f>+G17</f>
        <v>17.428333333333335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133</v>
      </c>
      <c r="L18" s="5"/>
      <c r="M18" s="22">
        <f t="shared" ref="M18:T18" si="25">+M17</f>
        <v>17.428333333333335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2</v>
      </c>
      <c r="S18" s="22">
        <f t="shared" si="25"/>
        <v>0.26208020050125314</v>
      </c>
      <c r="T18" s="5">
        <f t="shared" si="25"/>
        <v>131</v>
      </c>
      <c r="U18" s="5"/>
      <c r="V18" s="22">
        <f t="shared" ref="V18" si="26">+V17</f>
        <v>17.166253132832079</v>
      </c>
      <c r="Y18" s="34">
        <f>+$R$22</f>
        <v>0</v>
      </c>
      <c r="Z18" s="26">
        <f>+Y18*1</f>
        <v>0</v>
      </c>
      <c r="AA18" s="35">
        <f>+Y18+'26'!AA18</f>
        <v>0</v>
      </c>
      <c r="AB18" s="30">
        <f>+Z18+'26'!AB18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5">
        <f>+Y19+'26'!AA19</f>
        <v>0</v>
      </c>
      <c r="AB19" s="30">
        <f>+Z19+'26'!AB19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+'26'!T20</f>
        <v>23</v>
      </c>
      <c r="F20" s="19">
        <f>+'26'!U20</f>
        <v>0.48</v>
      </c>
      <c r="G20" s="17">
        <f>+'26'!V20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2</v>
      </c>
      <c r="Z20" s="31">
        <f>+SUM(Z8:Z19)</f>
        <v>1</v>
      </c>
      <c r="AA20" s="28">
        <f>+SUM(AA8:AA19)</f>
        <v>88</v>
      </c>
      <c r="AB20" s="31">
        <f>+SUM(AB8:AB19)</f>
        <v>82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+'26'!T21</f>
        <v>16</v>
      </c>
      <c r="F21" s="19">
        <f>+'26'!U21</f>
        <v>0.65000000000000013</v>
      </c>
      <c r="G21" s="17">
        <f>+'26'!V21</f>
        <v>10.400000000000002</v>
      </c>
      <c r="H21" s="17"/>
      <c r="I21" s="18"/>
      <c r="J21" s="18">
        <f t="shared" si="28"/>
        <v>0</v>
      </c>
      <c r="K21" s="16">
        <f t="shared" si="29"/>
        <v>16</v>
      </c>
      <c r="L21" s="19">
        <f t="shared" si="30"/>
        <v>0.65000000000000013</v>
      </c>
      <c r="M21" s="19">
        <f t="shared" si="31"/>
        <v>10.400000000000002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16</v>
      </c>
      <c r="U21" s="18">
        <f t="shared" si="35"/>
        <v>0.65000000000000013</v>
      </c>
      <c r="V21" s="18">
        <f t="shared" si="36"/>
        <v>10.400000000000002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+'26'!T22</f>
        <v>0</v>
      </c>
      <c r="F22" s="19">
        <f>+'26'!U22</f>
        <v>0</v>
      </c>
      <c r="G22" s="17">
        <f>+'26'!V22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+'26'!T23</f>
        <v>0</v>
      </c>
      <c r="F23" s="19">
        <f>+'26'!U23</f>
        <v>0</v>
      </c>
      <c r="G23" s="17">
        <f>+'26'!V23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+'26'!T24</f>
        <v>0</v>
      </c>
      <c r="F24" s="19">
        <f>+'26'!U24</f>
        <v>0</v>
      </c>
      <c r="G24" s="17">
        <f>+'26'!V24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+'26'!T25</f>
        <v>0</v>
      </c>
      <c r="F25" s="19">
        <f>+'26'!U25</f>
        <v>0</v>
      </c>
      <c r="G25" s="17">
        <f>+'26'!V25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+'26'!T26</f>
        <v>0</v>
      </c>
      <c r="F26" s="19">
        <f>+'26'!U26</f>
        <v>0</v>
      </c>
      <c r="G26" s="17">
        <f>+'26'!V26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+'26'!T27</f>
        <v>0</v>
      </c>
      <c r="F27" s="19">
        <f>+'26'!U27</f>
        <v>0</v>
      </c>
      <c r="G27" s="17">
        <f>+'26'!V27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+'26'!T28</f>
        <v>0</v>
      </c>
      <c r="F28" s="19">
        <f>+'26'!U28</f>
        <v>0</v>
      </c>
      <c r="G28" s="17">
        <f>+'26'!V28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+'26'!T29</f>
        <v>0</v>
      </c>
      <c r="F29" s="19">
        <f>+'26'!U29</f>
        <v>0</v>
      </c>
      <c r="G29" s="17">
        <f>+'26'!V29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+'26'!T30</f>
        <v>0</v>
      </c>
      <c r="F30" s="19">
        <f>+'26'!U30</f>
        <v>0</v>
      </c>
      <c r="G30" s="17">
        <f>+'26'!V30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+'26'!T31</f>
        <v>0</v>
      </c>
      <c r="F31" s="19">
        <f>+'26'!U31</f>
        <v>0</v>
      </c>
      <c r="G31" s="17">
        <f>+'26'!V31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+'26'!T32</f>
        <v>0</v>
      </c>
      <c r="F32" s="19">
        <f>+'26'!U32</f>
        <v>0</v>
      </c>
      <c r="G32" s="17">
        <f>+'26'!V32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+'26'!T33</f>
        <v>0</v>
      </c>
      <c r="F33" s="19">
        <f>+'26'!U33</f>
        <v>0</v>
      </c>
      <c r="G33" s="17">
        <f>+'26'!V33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+'26'!T34</f>
        <v>0</v>
      </c>
      <c r="F34" s="19">
        <f>+'26'!U34</f>
        <v>0</v>
      </c>
      <c r="G34" s="17">
        <f>+'26'!V34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+'26'!T35</f>
        <v>0</v>
      </c>
      <c r="F35" s="19">
        <f>+'26'!U35</f>
        <v>0</v>
      </c>
      <c r="G35" s="17">
        <f>+'26'!V35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+'26'!T36</f>
        <v>0</v>
      </c>
      <c r="F36" s="19">
        <f>+'26'!U36</f>
        <v>0</v>
      </c>
      <c r="G36" s="17">
        <f>+'26'!V36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+'26'!T37</f>
        <v>0</v>
      </c>
      <c r="F37" s="19">
        <f>+'26'!U37</f>
        <v>0</v>
      </c>
      <c r="G37" s="17">
        <f>+'26'!V37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39</v>
      </c>
      <c r="F38" s="5"/>
      <c r="G38" s="22">
        <f>+SUM(G20:G37)</f>
        <v>21.44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39</v>
      </c>
      <c r="L38" s="5"/>
      <c r="M38" s="22">
        <f t="shared" ref="M38:T38" si="41">+SUM(M20:M37)</f>
        <v>21.44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39</v>
      </c>
      <c r="U38" s="5"/>
      <c r="V38" s="22">
        <f t="shared" ref="V38" si="42">+SUM(V20:V37)</f>
        <v>21.44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282</v>
      </c>
      <c r="F39" s="5"/>
      <c r="G39" s="22">
        <f>+SUM(G7:G38)/2</f>
        <v>77.368333333333325</v>
      </c>
      <c r="H39" s="5">
        <f>+SUM(H7:H38)/2</f>
        <v>0</v>
      </c>
      <c r="I39" s="5"/>
      <c r="J39" s="22">
        <f>+SUM(J7:J38)/2</f>
        <v>0</v>
      </c>
      <c r="K39" s="5">
        <f>+SUM(K7:K38)/2</f>
        <v>282</v>
      </c>
      <c r="L39" s="5"/>
      <c r="M39" s="22">
        <f t="shared" ref="M39:T39" si="43">+SUM(M7:M38)/2</f>
        <v>77.368333333333325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2</v>
      </c>
      <c r="S39" s="22">
        <f t="shared" si="43"/>
        <v>0.26208020050125314</v>
      </c>
      <c r="T39" s="5">
        <f t="shared" si="43"/>
        <v>280</v>
      </c>
      <c r="U39" s="5"/>
      <c r="V39" s="22">
        <f>+SUM(V7:V38)/2</f>
        <v>77.10625313283208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C3CD-7EB0-4EEF-A8DF-336E359FDF42}">
  <dimension ref="A2:AC47"/>
  <sheetViews>
    <sheetView view="pageBreakPreview" zoomScaleNormal="100" zoomScaleSheetLayoutView="100" workbookViewId="0">
      <pane xSplit="2" ySplit="7" topLeftCell="M8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0.88671875" style="1" customWidth="1"/>
    <col min="25" max="25" width="6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+'27'!T4+1</f>
        <v>45866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+'27'!T8</f>
        <v>1</v>
      </c>
      <c r="F8" s="19">
        <f>+'27'!U8</f>
        <v>0.36249999999999982</v>
      </c>
      <c r="G8" s="17">
        <f>+'27'!V8</f>
        <v>0.36249999999999982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0.36249999999999982</v>
      </c>
      <c r="M8" s="19">
        <f t="shared" ref="M8:M14" si="2">+J8+G8</f>
        <v>0.36249999999999982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1</v>
      </c>
      <c r="U8" s="18">
        <f t="shared" ref="U8:U14" si="5">IF(T8=0,,V8/T8)</f>
        <v>0.36249999999999982</v>
      </c>
      <c r="V8" s="18">
        <f t="shared" ref="V8:V14" si="6">+T8*L8</f>
        <v>0.36249999999999982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8">
        <f>+Y8+'27'!AA8</f>
        <v>22</v>
      </c>
      <c r="AB8" s="30">
        <f>+Z8+'27'!AB8</f>
        <v>22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+'27'!T9</f>
        <v>42</v>
      </c>
      <c r="F9" s="19">
        <f>+'27'!U9</f>
        <v>0.36249999999999993</v>
      </c>
      <c r="G9" s="17">
        <f>+'27'!V9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8">
        <f>+Y9+'27'!AA9</f>
        <v>0</v>
      </c>
      <c r="AB9" s="30">
        <f>+Z9+'27'!AB9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+'27'!T10</f>
        <v>8</v>
      </c>
      <c r="F10" s="19">
        <f>+'27'!U10</f>
        <v>0.36249999999999999</v>
      </c>
      <c r="G10" s="17">
        <f>+'27'!V10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8">
        <f>+Y10+'27'!AA10</f>
        <v>3</v>
      </c>
      <c r="AB10" s="30">
        <f>+Z10+'27'!AB10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+'27'!T11</f>
        <v>22</v>
      </c>
      <c r="F11" s="19">
        <f>+'27'!U11</f>
        <v>0.3</v>
      </c>
      <c r="G11" s="17">
        <f>+'27'!V11</f>
        <v>6.6</v>
      </c>
      <c r="H11" s="17"/>
      <c r="I11" s="18"/>
      <c r="J11" s="18">
        <f t="shared" si="11"/>
        <v>0</v>
      </c>
      <c r="K11" s="16">
        <f t="shared" si="0"/>
        <v>22</v>
      </c>
      <c r="L11" s="19">
        <f t="shared" si="1"/>
        <v>0.3</v>
      </c>
      <c r="M11" s="19">
        <f t="shared" si="2"/>
        <v>6.6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22</v>
      </c>
      <c r="U11" s="18">
        <f t="shared" si="5"/>
        <v>0.3</v>
      </c>
      <c r="V11" s="18">
        <f t="shared" si="6"/>
        <v>6.6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8">
        <f>+Y11+'27'!AA11</f>
        <v>4</v>
      </c>
      <c r="AB11" s="30">
        <f>+Z11+'27'!AB11</f>
        <v>4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+'27'!T12</f>
        <v>4</v>
      </c>
      <c r="F12" s="19">
        <f>+'27'!U12</f>
        <v>0.36249999999999999</v>
      </c>
      <c r="G12" s="17">
        <f>+'27'!V12</f>
        <v>1.45</v>
      </c>
      <c r="H12" s="17"/>
      <c r="I12" s="18"/>
      <c r="J12" s="18">
        <f t="shared" si="11"/>
        <v>0</v>
      </c>
      <c r="K12" s="16">
        <f t="shared" si="0"/>
        <v>4</v>
      </c>
      <c r="L12" s="19">
        <f t="shared" si="1"/>
        <v>0.36249999999999999</v>
      </c>
      <c r="M12" s="19">
        <f t="shared" si="2"/>
        <v>1.45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4</v>
      </c>
      <c r="U12" s="18">
        <f t="shared" si="5"/>
        <v>0.36249999999999999</v>
      </c>
      <c r="V12" s="18">
        <f t="shared" si="6"/>
        <v>1.45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8">
        <f>+Y12+'27'!AA12</f>
        <v>8</v>
      </c>
      <c r="AB12" s="30">
        <f>+Z12+'27'!AB12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+'27'!T13</f>
        <v>17</v>
      </c>
      <c r="F13" s="19">
        <f>+'27'!U13</f>
        <v>0.36249999999999999</v>
      </c>
      <c r="G13" s="17">
        <f>+'27'!V13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8">
        <f>+Y13+'27'!AA13</f>
        <v>2</v>
      </c>
      <c r="AB13" s="30">
        <f>+Z13+'27'!AB13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+'27'!T14</f>
        <v>16</v>
      </c>
      <c r="F14" s="19">
        <f>+'27'!U14</f>
        <v>0.36249999999999999</v>
      </c>
      <c r="G14" s="17">
        <f>+'27'!V14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8">
        <f>+Y14+'27'!AA14</f>
        <v>4</v>
      </c>
      <c r="AB14" s="30">
        <f>+Z14+'27'!AB14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110</v>
      </c>
      <c r="F15" s="5"/>
      <c r="G15" s="22">
        <f>+SUM(G8:G14)</f>
        <v>38.499999999999993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110</v>
      </c>
      <c r="L15" s="5"/>
      <c r="M15" s="22">
        <f t="shared" ref="M15:T15" si="13">+SUM(M8:M14)</f>
        <v>38.499999999999993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110</v>
      </c>
      <c r="U15" s="5"/>
      <c r="V15" s="22">
        <f t="shared" ref="V15" si="14">+SUM(V8:V14)</f>
        <v>38.499999999999993</v>
      </c>
      <c r="W15" s="1" t="str">
        <f>+$B$17</f>
        <v>Dasani 500ml (24 Btl)</v>
      </c>
      <c r="Y15" s="2">
        <f>+$R$17</f>
        <v>0</v>
      </c>
      <c r="Z15" s="26">
        <f>+Y15*0.5</f>
        <v>0</v>
      </c>
      <c r="AA15" s="38">
        <f>+Y15+'27'!AA15</f>
        <v>23</v>
      </c>
      <c r="AB15" s="30">
        <f>+Z15+'27'!AB15</f>
        <v>11.5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8">
        <f>+Y16+'27'!AA16</f>
        <v>9</v>
      </c>
      <c r="AB16" s="30">
        <f>+Z16+'27'!AB16</f>
        <v>11.25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+'27'!T17</f>
        <v>131</v>
      </c>
      <c r="F17" s="19">
        <f>+'27'!U17</f>
        <v>0.13104010025062657</v>
      </c>
      <c r="G17" s="19">
        <f>+'27'!V17</f>
        <v>17.166253132832079</v>
      </c>
      <c r="H17" s="17"/>
      <c r="I17" s="18"/>
      <c r="J17" s="18">
        <f t="shared" ref="J17" si="15">+H17*I17</f>
        <v>0</v>
      </c>
      <c r="K17" s="16">
        <f>+E17+H17</f>
        <v>131</v>
      </c>
      <c r="L17" s="19">
        <f t="shared" ref="L17" si="16">IF(K17=0,,M17/K17)</f>
        <v>0.13104010025062657</v>
      </c>
      <c r="M17" s="19">
        <f>+J17+G17</f>
        <v>17.166253132832079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/>
      <c r="S17" s="18">
        <f t="shared" ref="S17" si="19">+R17*L17</f>
        <v>0</v>
      </c>
      <c r="T17" s="17">
        <f t="shared" ref="T17" si="20">+K17-N17-P17-R17</f>
        <v>131</v>
      </c>
      <c r="U17" s="18">
        <f t="shared" ref="U17" si="21">IF(T17=0,,V17/T17)</f>
        <v>0.13104010025062657</v>
      </c>
      <c r="V17" s="18">
        <f t="shared" ref="V17" si="22">+T17*L17</f>
        <v>17.166253132832079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8">
        <f>+Y17+'27'!AA17</f>
        <v>13</v>
      </c>
      <c r="AB17" s="30">
        <f>+Z17+'27'!AB17</f>
        <v>16.25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131</v>
      </c>
      <c r="F18" s="5"/>
      <c r="G18" s="22">
        <f>+G17</f>
        <v>17.166253132832079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131</v>
      </c>
      <c r="L18" s="5"/>
      <c r="M18" s="22">
        <f t="shared" ref="M18:T18" si="25">+M17</f>
        <v>17.166253132832079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0</v>
      </c>
      <c r="S18" s="22">
        <f t="shared" si="25"/>
        <v>0</v>
      </c>
      <c r="T18" s="5">
        <f t="shared" si="25"/>
        <v>131</v>
      </c>
      <c r="U18" s="5"/>
      <c r="V18" s="22">
        <f t="shared" ref="V18" si="26">+V17</f>
        <v>17.166253132832079</v>
      </c>
      <c r="Y18" s="34">
        <f>+$R$22</f>
        <v>0</v>
      </c>
      <c r="Z18" s="26">
        <f t="shared" si="7"/>
        <v>0</v>
      </c>
      <c r="AA18" s="38">
        <f>+Y18+'27'!AA18</f>
        <v>0</v>
      </c>
      <c r="AB18" s="30">
        <f>+Z18+'27'!AB18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8">
        <f>+Y19+'27'!AA19</f>
        <v>0</v>
      </c>
      <c r="AB19" s="30">
        <f>+Z19+'27'!AB19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+'27'!T20</f>
        <v>23</v>
      </c>
      <c r="F20" s="19">
        <f>+'27'!U20</f>
        <v>0.48</v>
      </c>
      <c r="G20" s="17">
        <f>+'27'!V20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23</v>
      </c>
      <c r="U20" s="18">
        <f t="shared" ref="U20:U37" si="35">IF(T20=0,,V20/T20)</f>
        <v>0.48</v>
      </c>
      <c r="V20" s="18">
        <f t="shared" ref="V20:V37" si="36">+T20*L20</f>
        <v>11.04</v>
      </c>
      <c r="W20" s="70" t="s">
        <v>43</v>
      </c>
      <c r="X20" s="70"/>
      <c r="Y20" s="28">
        <f>+SUM(Y8:Y19)</f>
        <v>0</v>
      </c>
      <c r="Z20" s="31">
        <f>+SUM(Z8:Z19)</f>
        <v>0</v>
      </c>
      <c r="AA20" s="28">
        <f>+SUM(AA8:AA19)</f>
        <v>88</v>
      </c>
      <c r="AB20" s="31">
        <f>+SUM(AB8:AB19)</f>
        <v>82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+'27'!T21</f>
        <v>16</v>
      </c>
      <c r="F21" s="19">
        <f>+'27'!U21</f>
        <v>0.65000000000000013</v>
      </c>
      <c r="G21" s="17">
        <f>+'27'!V21</f>
        <v>10.400000000000002</v>
      </c>
      <c r="H21" s="17"/>
      <c r="I21" s="18"/>
      <c r="J21" s="18">
        <f t="shared" si="28"/>
        <v>0</v>
      </c>
      <c r="K21" s="16">
        <f t="shared" si="29"/>
        <v>16</v>
      </c>
      <c r="L21" s="19">
        <f t="shared" si="30"/>
        <v>0.65000000000000013</v>
      </c>
      <c r="M21" s="19">
        <f t="shared" si="31"/>
        <v>10.400000000000002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16</v>
      </c>
      <c r="U21" s="18">
        <f t="shared" si="35"/>
        <v>0.65000000000000013</v>
      </c>
      <c r="V21" s="18">
        <f t="shared" si="36"/>
        <v>10.400000000000002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+'27'!T22</f>
        <v>0</v>
      </c>
      <c r="F22" s="19">
        <f>+'27'!U22</f>
        <v>0</v>
      </c>
      <c r="G22" s="17">
        <f>+'27'!V22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+'27'!T23</f>
        <v>0</v>
      </c>
      <c r="F23" s="19">
        <f>+'27'!U23</f>
        <v>0</v>
      </c>
      <c r="G23" s="17">
        <f>+'27'!V23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+'27'!T24</f>
        <v>0</v>
      </c>
      <c r="F24" s="19">
        <f>+'27'!U24</f>
        <v>0</v>
      </c>
      <c r="G24" s="17">
        <f>+'27'!V24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+'27'!T25</f>
        <v>0</v>
      </c>
      <c r="F25" s="19">
        <f>+'27'!U25</f>
        <v>0</v>
      </c>
      <c r="G25" s="17">
        <f>+'27'!V25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+'27'!T26</f>
        <v>0</v>
      </c>
      <c r="F26" s="19">
        <f>+'27'!U26</f>
        <v>0</v>
      </c>
      <c r="G26" s="17">
        <f>+'27'!V26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+'27'!T27</f>
        <v>0</v>
      </c>
      <c r="F27" s="19">
        <f>+'27'!U27</f>
        <v>0</v>
      </c>
      <c r="G27" s="17">
        <f>+'27'!V27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+'27'!T28</f>
        <v>0</v>
      </c>
      <c r="F28" s="19">
        <f>+'27'!U28</f>
        <v>0</v>
      </c>
      <c r="G28" s="17">
        <f>+'27'!V28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+'27'!T29</f>
        <v>0</v>
      </c>
      <c r="F29" s="19">
        <f>+'27'!U29</f>
        <v>0</v>
      </c>
      <c r="G29" s="17">
        <f>+'27'!V29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+'27'!T30</f>
        <v>0</v>
      </c>
      <c r="F30" s="19">
        <f>+'27'!U30</f>
        <v>0</v>
      </c>
      <c r="G30" s="17">
        <f>+'27'!V30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+'27'!T31</f>
        <v>0</v>
      </c>
      <c r="F31" s="19">
        <f>+'27'!U31</f>
        <v>0</v>
      </c>
      <c r="G31" s="17">
        <f>+'27'!V31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+'27'!T32</f>
        <v>0</v>
      </c>
      <c r="F32" s="19">
        <f>+'27'!U32</f>
        <v>0</v>
      </c>
      <c r="G32" s="17">
        <f>+'27'!V32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+'27'!T33</f>
        <v>0</v>
      </c>
      <c r="F33" s="19">
        <f>+'27'!U33</f>
        <v>0</v>
      </c>
      <c r="G33" s="17">
        <f>+'27'!V33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+'27'!T34</f>
        <v>0</v>
      </c>
      <c r="F34" s="19">
        <f>+'27'!U34</f>
        <v>0</v>
      </c>
      <c r="G34" s="17">
        <f>+'27'!V34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+'27'!T35</f>
        <v>0</v>
      </c>
      <c r="F35" s="19">
        <f>+'27'!U35</f>
        <v>0</v>
      </c>
      <c r="G35" s="17">
        <f>+'27'!V35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+'27'!T36</f>
        <v>0</v>
      </c>
      <c r="F36" s="19">
        <f>+'27'!U36</f>
        <v>0</v>
      </c>
      <c r="G36" s="17">
        <f>+'27'!V36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+'27'!T37</f>
        <v>0</v>
      </c>
      <c r="F37" s="19">
        <f>+'27'!U37</f>
        <v>0</v>
      </c>
      <c r="G37" s="17">
        <f>+'27'!V37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39</v>
      </c>
      <c r="F38" s="5"/>
      <c r="G38" s="22">
        <f>+SUM(G20:G37)</f>
        <v>21.44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39</v>
      </c>
      <c r="L38" s="5"/>
      <c r="M38" s="22">
        <f t="shared" ref="M38:T38" si="41">+SUM(M20:M37)</f>
        <v>21.44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39</v>
      </c>
      <c r="U38" s="5"/>
      <c r="V38" s="22">
        <f t="shared" ref="V38" si="42">+SUM(V20:V37)</f>
        <v>21.44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280</v>
      </c>
      <c r="F39" s="5"/>
      <c r="G39" s="22">
        <f>+SUM(G7:G38)/2</f>
        <v>77.10625313283208</v>
      </c>
      <c r="H39" s="5">
        <f>+SUM(H7:H38)/2</f>
        <v>0</v>
      </c>
      <c r="I39" s="5"/>
      <c r="J39" s="22">
        <f>+SUM(J7:J38)/2</f>
        <v>0</v>
      </c>
      <c r="K39" s="5">
        <f>+SUM(K7:K38)/2</f>
        <v>280</v>
      </c>
      <c r="L39" s="5"/>
      <c r="M39" s="22">
        <f t="shared" ref="M39:T39" si="43">+SUM(M7:M38)/2</f>
        <v>77.10625313283208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0</v>
      </c>
      <c r="S39" s="22">
        <f t="shared" si="43"/>
        <v>0</v>
      </c>
      <c r="T39" s="5">
        <f t="shared" si="43"/>
        <v>280</v>
      </c>
      <c r="U39" s="5"/>
      <c r="V39" s="22">
        <f>+SUM(V7:V38)/2</f>
        <v>77.10625313283208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E7E7-9857-4EDB-ABFC-1B52FD23492F}">
  <sheetPr>
    <tabColor rgb="FF00B0F0"/>
  </sheetPr>
  <dimension ref="A2:AC47"/>
  <sheetViews>
    <sheetView view="pageBreakPreview" zoomScale="90" zoomScaleNormal="100" zoomScaleSheetLayoutView="90" workbookViewId="0">
      <pane xSplit="2" ySplit="7" topLeftCell="H9" activePane="bottomRight" state="frozen"/>
      <selection activeCell="K14" sqref="K14"/>
      <selection pane="topRight" activeCell="K14" sqref="K14"/>
      <selection pane="bottomLeft" activeCell="K14" sqref="K14"/>
      <selection pane="bottomRight" activeCell="S19" sqref="S19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7.88671875" style="1" customWidth="1"/>
    <col min="25" max="25" width="5.33203125" style="1" customWidth="1"/>
    <col min="26" max="26" width="9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+'28'!T4+1</f>
        <v>45867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+'28'!T8</f>
        <v>1</v>
      </c>
      <c r="F8" s="19">
        <f>+'28'!U8</f>
        <v>0.36249999999999982</v>
      </c>
      <c r="G8" s="17">
        <f>+'28'!V8</f>
        <v>0.36249999999999982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0.36249999999999982</v>
      </c>
      <c r="M8" s="19">
        <f t="shared" ref="M8:M14" si="2">+J8+G8</f>
        <v>0.36249999999999982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1</v>
      </c>
      <c r="U8" s="18">
        <f t="shared" ref="U8:U14" si="5">IF(T8=0,,V8/T8)</f>
        <v>0.36249999999999982</v>
      </c>
      <c r="V8" s="18">
        <f t="shared" ref="V8:V14" si="6">+T8*L8</f>
        <v>0.36249999999999982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8">
        <f>+Y8+'28'!AA8</f>
        <v>22</v>
      </c>
      <c r="AB8" s="30">
        <f>+Z8+'28'!AB8</f>
        <v>22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+'28'!T9</f>
        <v>42</v>
      </c>
      <c r="F9" s="19">
        <f>+'28'!U9</f>
        <v>0.36249999999999993</v>
      </c>
      <c r="G9" s="17">
        <f>+'28'!V9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8">
        <f>+Y9+'28'!AA9</f>
        <v>0</v>
      </c>
      <c r="AB9" s="30">
        <f>+Z9+'28'!AB9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+'28'!T10</f>
        <v>8</v>
      </c>
      <c r="F10" s="19">
        <f>+'28'!U10</f>
        <v>0.36249999999999999</v>
      </c>
      <c r="G10" s="17">
        <f>+'28'!V10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8">
        <f>+Y10+'28'!AA10</f>
        <v>3</v>
      </c>
      <c r="AB10" s="30">
        <f>+Z10+'28'!AB10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+'28'!T11</f>
        <v>22</v>
      </c>
      <c r="F11" s="19">
        <f>+'28'!U11</f>
        <v>0.3</v>
      </c>
      <c r="G11" s="17">
        <f>+'28'!V11</f>
        <v>6.6</v>
      </c>
      <c r="H11" s="17"/>
      <c r="I11" s="18"/>
      <c r="J11" s="18">
        <f t="shared" si="11"/>
        <v>0</v>
      </c>
      <c r="K11" s="16">
        <f t="shared" si="0"/>
        <v>22</v>
      </c>
      <c r="L11" s="19">
        <f t="shared" si="1"/>
        <v>0.3</v>
      </c>
      <c r="M11" s="19">
        <f t="shared" si="2"/>
        <v>6.6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22</v>
      </c>
      <c r="U11" s="18">
        <f t="shared" si="5"/>
        <v>0.3</v>
      </c>
      <c r="V11" s="18">
        <f t="shared" si="6"/>
        <v>6.6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8">
        <f>+Y11+'28'!AA11</f>
        <v>4</v>
      </c>
      <c r="AB11" s="30">
        <f>+Z11+'28'!AB11</f>
        <v>4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+'28'!T12</f>
        <v>4</v>
      </c>
      <c r="F12" s="19">
        <f>+'28'!U12</f>
        <v>0.36249999999999999</v>
      </c>
      <c r="G12" s="17">
        <f>+'28'!V12</f>
        <v>1.45</v>
      </c>
      <c r="H12" s="17"/>
      <c r="I12" s="18"/>
      <c r="J12" s="18">
        <f t="shared" si="11"/>
        <v>0</v>
      </c>
      <c r="K12" s="16">
        <f t="shared" si="0"/>
        <v>4</v>
      </c>
      <c r="L12" s="19">
        <f t="shared" si="1"/>
        <v>0.36249999999999999</v>
      </c>
      <c r="M12" s="19">
        <f t="shared" si="2"/>
        <v>1.45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4</v>
      </c>
      <c r="U12" s="18">
        <f t="shared" si="5"/>
        <v>0.36249999999999999</v>
      </c>
      <c r="V12" s="18">
        <f t="shared" si="6"/>
        <v>1.45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8">
        <f>+Y12+'28'!AA12</f>
        <v>8</v>
      </c>
      <c r="AB12" s="30">
        <f>+Z12+'28'!AB12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+'28'!T13</f>
        <v>17</v>
      </c>
      <c r="F13" s="19">
        <f>+'28'!U13</f>
        <v>0.36249999999999999</v>
      </c>
      <c r="G13" s="17">
        <f>+'28'!V13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8">
        <f>+Y13+'28'!AA13</f>
        <v>2</v>
      </c>
      <c r="AB13" s="30">
        <f>+Z13+'28'!AB13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+'28'!T14</f>
        <v>16</v>
      </c>
      <c r="F14" s="19">
        <f>+'28'!U14</f>
        <v>0.36249999999999999</v>
      </c>
      <c r="G14" s="17">
        <f>+'28'!V14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8">
        <f>+Y14+'28'!AA14</f>
        <v>4</v>
      </c>
      <c r="AB14" s="30">
        <f>+Z14+'28'!AB14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110</v>
      </c>
      <c r="F15" s="5"/>
      <c r="G15" s="22">
        <f>+SUM(G8:G14)</f>
        <v>38.499999999999993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110</v>
      </c>
      <c r="L15" s="5"/>
      <c r="M15" s="22">
        <f t="shared" ref="M15:T15" si="13">+SUM(M8:M14)</f>
        <v>38.499999999999993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110</v>
      </c>
      <c r="U15" s="5"/>
      <c r="V15" s="22">
        <f t="shared" ref="V15" si="14">+SUM(V8:V14)</f>
        <v>38.499999999999993</v>
      </c>
      <c r="W15" s="1" t="str">
        <f>+$B$17</f>
        <v>Dasani 500ml (24 Btl)</v>
      </c>
      <c r="Y15" s="2">
        <f>+$R$17</f>
        <v>7</v>
      </c>
      <c r="Z15" s="26">
        <f>+Y15*0.5</f>
        <v>3.5</v>
      </c>
      <c r="AA15" s="38">
        <f>+Y15+'28'!AA15</f>
        <v>30</v>
      </c>
      <c r="AB15" s="30">
        <f>+Z15+'28'!AB15</f>
        <v>15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2</v>
      </c>
      <c r="Z16" s="26">
        <f>+Y16*1.25</f>
        <v>2.5</v>
      </c>
      <c r="AA16" s="38">
        <f>+Y16+'28'!AA16</f>
        <v>11</v>
      </c>
      <c r="AB16" s="30">
        <f>+Z16+'28'!AB16</f>
        <v>13.75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+'28'!T17</f>
        <v>131</v>
      </c>
      <c r="F17" s="19">
        <f>+'28'!U17</f>
        <v>0.13104010025062657</v>
      </c>
      <c r="G17" s="19">
        <f>+'28'!V17</f>
        <v>17.166253132832079</v>
      </c>
      <c r="H17" s="17"/>
      <c r="I17" s="18"/>
      <c r="J17" s="18">
        <f t="shared" ref="J17" si="15">+H17*I17</f>
        <v>0</v>
      </c>
      <c r="K17" s="16">
        <f>+E17+H17</f>
        <v>131</v>
      </c>
      <c r="L17" s="19">
        <f t="shared" ref="L17" si="16">IF(K17=0,,M17/K17)</f>
        <v>0.13104010025062657</v>
      </c>
      <c r="M17" s="19">
        <f>+J17+G17</f>
        <v>17.166253132832079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7</v>
      </c>
      <c r="S17" s="18">
        <f t="shared" ref="S17" si="19">+R17*L17</f>
        <v>0.91728070175438603</v>
      </c>
      <c r="T17" s="17">
        <f t="shared" ref="T17" si="20">+K17-N17-P17-R17</f>
        <v>124</v>
      </c>
      <c r="U17" s="18">
        <f t="shared" ref="U17" si="21">IF(T17=0,,V17/T17)</f>
        <v>0.13104010025062657</v>
      </c>
      <c r="V17" s="18">
        <f t="shared" ref="V17" si="22">+T17*L17</f>
        <v>16.248972431077693</v>
      </c>
      <c r="W17" s="1" t="str">
        <f>+$B$21</f>
        <v>Heineken 330ml CAN</v>
      </c>
      <c r="Y17" s="34">
        <f>+$R$21</f>
        <v>2</v>
      </c>
      <c r="Z17" s="26">
        <f>+Y17*1.25</f>
        <v>2.5</v>
      </c>
      <c r="AA17" s="38">
        <f>+Y17+'28'!AA17</f>
        <v>15</v>
      </c>
      <c r="AB17" s="30">
        <f>+Z17+'28'!AB17</f>
        <v>18.75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131</v>
      </c>
      <c r="F18" s="5"/>
      <c r="G18" s="22">
        <f>+G17</f>
        <v>17.166253132832079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131</v>
      </c>
      <c r="L18" s="5"/>
      <c r="M18" s="22">
        <f t="shared" ref="M18:T18" si="25">+M17</f>
        <v>17.166253132832079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7</v>
      </c>
      <c r="S18" s="22">
        <f t="shared" si="25"/>
        <v>0.91728070175438603</v>
      </c>
      <c r="T18" s="5">
        <f t="shared" si="25"/>
        <v>124</v>
      </c>
      <c r="U18" s="5"/>
      <c r="V18" s="22">
        <f t="shared" ref="V18" si="26">+V17</f>
        <v>16.248972431077693</v>
      </c>
      <c r="Y18" s="34">
        <f>+$R$22</f>
        <v>0</v>
      </c>
      <c r="Z18" s="26">
        <f t="shared" si="7"/>
        <v>0</v>
      </c>
      <c r="AA18" s="38">
        <f>+Y18+'28'!AA18</f>
        <v>0</v>
      </c>
      <c r="AB18" s="30">
        <f>+Z18+'28'!AB18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8">
        <f>+Y19+'28'!AA19</f>
        <v>0</v>
      </c>
      <c r="AB19" s="30">
        <f>+Z19+'28'!AB19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+'28'!T20</f>
        <v>23</v>
      </c>
      <c r="F20" s="19">
        <f>+'28'!U20</f>
        <v>0.48</v>
      </c>
      <c r="G20" s="17">
        <f>+'28'!V20</f>
        <v>11.04</v>
      </c>
      <c r="H20" s="17"/>
      <c r="I20" s="18"/>
      <c r="J20" s="18">
        <f t="shared" ref="J20:J37" si="28">+H20*I20</f>
        <v>0</v>
      </c>
      <c r="K20" s="16">
        <f t="shared" ref="K20:K37" si="29">+E20+H20</f>
        <v>23</v>
      </c>
      <c r="L20" s="19">
        <f t="shared" ref="L20:L37" si="30">IF(K20=0,,M20/K20)</f>
        <v>0.48</v>
      </c>
      <c r="M20" s="19">
        <f t="shared" ref="M20:M37" si="31">+J20+G20</f>
        <v>11.04</v>
      </c>
      <c r="N20" s="17"/>
      <c r="O20" s="18">
        <f t="shared" ref="O20:O37" si="32">+N20*L20</f>
        <v>0</v>
      </c>
      <c r="P20" s="17"/>
      <c r="Q20" s="18">
        <f>+P20*L20</f>
        <v>0</v>
      </c>
      <c r="R20" s="17">
        <v>2</v>
      </c>
      <c r="S20" s="18">
        <f t="shared" ref="S20:S37" si="33">+R20*L20</f>
        <v>0.96</v>
      </c>
      <c r="T20" s="17">
        <f t="shared" ref="T20:T37" si="34">+K20-N20-P20-R20</f>
        <v>21</v>
      </c>
      <c r="U20" s="18">
        <f t="shared" ref="U20:U37" si="35">IF(T20=0,,V20/T20)</f>
        <v>0.48</v>
      </c>
      <c r="V20" s="18">
        <f t="shared" ref="V20:V37" si="36">+T20*L20</f>
        <v>10.08</v>
      </c>
      <c r="W20" s="70" t="s">
        <v>43</v>
      </c>
      <c r="X20" s="70"/>
      <c r="Y20" s="28">
        <f>+SUM(Y8:Y19)</f>
        <v>11</v>
      </c>
      <c r="Z20" s="31">
        <f>+SUM(Z8:Z19)</f>
        <v>8.5</v>
      </c>
      <c r="AA20" s="28">
        <f>+SUM(AA8:AA19)</f>
        <v>99</v>
      </c>
      <c r="AB20" s="31">
        <f>+SUM(AB8:AB19)</f>
        <v>90.5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+'28'!T21</f>
        <v>16</v>
      </c>
      <c r="F21" s="19">
        <f>+'28'!U21</f>
        <v>0.65000000000000013</v>
      </c>
      <c r="G21" s="17">
        <f>+'28'!V21</f>
        <v>10.400000000000002</v>
      </c>
      <c r="H21" s="17"/>
      <c r="I21" s="18"/>
      <c r="J21" s="18">
        <f t="shared" si="28"/>
        <v>0</v>
      </c>
      <c r="K21" s="16">
        <f t="shared" si="29"/>
        <v>16</v>
      </c>
      <c r="L21" s="19">
        <f t="shared" si="30"/>
        <v>0.65000000000000013</v>
      </c>
      <c r="M21" s="19">
        <f t="shared" si="31"/>
        <v>10.400000000000002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>
        <v>2</v>
      </c>
      <c r="S21" s="18">
        <f t="shared" si="33"/>
        <v>1.3000000000000003</v>
      </c>
      <c r="T21" s="17">
        <f t="shared" si="34"/>
        <v>14</v>
      </c>
      <c r="U21" s="18">
        <f t="shared" si="35"/>
        <v>0.65000000000000013</v>
      </c>
      <c r="V21" s="18">
        <f t="shared" si="36"/>
        <v>9.1000000000000014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+'28'!T22</f>
        <v>0</v>
      </c>
      <c r="F22" s="19">
        <f>+'28'!U22</f>
        <v>0</v>
      </c>
      <c r="G22" s="17">
        <f>+'28'!V22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+'28'!T23</f>
        <v>0</v>
      </c>
      <c r="F23" s="19">
        <f>+'28'!U23</f>
        <v>0</v>
      </c>
      <c r="G23" s="17">
        <f>+'28'!V23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+'28'!T24</f>
        <v>0</v>
      </c>
      <c r="F24" s="19">
        <f>+'28'!U24</f>
        <v>0</v>
      </c>
      <c r="G24" s="17">
        <f>+'28'!V24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+'28'!T25</f>
        <v>0</v>
      </c>
      <c r="F25" s="19">
        <f>+'28'!U25</f>
        <v>0</v>
      </c>
      <c r="G25" s="17">
        <f>+'28'!V25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+'28'!T26</f>
        <v>0</v>
      </c>
      <c r="F26" s="19">
        <f>+'28'!U26</f>
        <v>0</v>
      </c>
      <c r="G26" s="17">
        <f>+'28'!V26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+'28'!T27</f>
        <v>0</v>
      </c>
      <c r="F27" s="19">
        <f>+'28'!U27</f>
        <v>0</v>
      </c>
      <c r="G27" s="17">
        <f>+'28'!V27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+'28'!T28</f>
        <v>0</v>
      </c>
      <c r="F28" s="19">
        <f>+'28'!U28</f>
        <v>0</v>
      </c>
      <c r="G28" s="17">
        <f>+'28'!V28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+'28'!T29</f>
        <v>0</v>
      </c>
      <c r="F29" s="19">
        <f>+'28'!U29</f>
        <v>0</v>
      </c>
      <c r="G29" s="17">
        <f>+'28'!V29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+'28'!T30</f>
        <v>0</v>
      </c>
      <c r="F30" s="19">
        <f>+'28'!U30</f>
        <v>0</v>
      </c>
      <c r="G30" s="17">
        <f>+'28'!V30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+'28'!T31</f>
        <v>0</v>
      </c>
      <c r="F31" s="19">
        <f>+'28'!U31</f>
        <v>0</v>
      </c>
      <c r="G31" s="17">
        <f>+'28'!V31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+'28'!T32</f>
        <v>0</v>
      </c>
      <c r="F32" s="19">
        <f>+'28'!U32</f>
        <v>0</v>
      </c>
      <c r="G32" s="17">
        <f>+'28'!V32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+'28'!T33</f>
        <v>0</v>
      </c>
      <c r="F33" s="19">
        <f>+'28'!U33</f>
        <v>0</v>
      </c>
      <c r="G33" s="17">
        <f>+'28'!V33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+'28'!T34</f>
        <v>0</v>
      </c>
      <c r="F34" s="19">
        <f>+'28'!U34</f>
        <v>0</v>
      </c>
      <c r="G34" s="17">
        <f>+'28'!V34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+'28'!T35</f>
        <v>0</v>
      </c>
      <c r="F35" s="19">
        <f>+'28'!U35</f>
        <v>0</v>
      </c>
      <c r="G35" s="17">
        <f>+'28'!V35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+'28'!T36</f>
        <v>0</v>
      </c>
      <c r="F36" s="19">
        <f>+'28'!U36</f>
        <v>0</v>
      </c>
      <c r="G36" s="17">
        <f>+'28'!V36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+'28'!T37</f>
        <v>0</v>
      </c>
      <c r="F37" s="19">
        <f>+'28'!U37</f>
        <v>0</v>
      </c>
      <c r="G37" s="17">
        <f>+'28'!V37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39</v>
      </c>
      <c r="F38" s="5"/>
      <c r="G38" s="22">
        <f>+SUM(G20:G37)</f>
        <v>21.44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39</v>
      </c>
      <c r="L38" s="5"/>
      <c r="M38" s="22">
        <f t="shared" ref="M38:T38" si="41">+SUM(M20:M37)</f>
        <v>21.44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4</v>
      </c>
      <c r="S38" s="22">
        <f t="shared" si="41"/>
        <v>2.2600000000000002</v>
      </c>
      <c r="T38" s="5">
        <f t="shared" si="41"/>
        <v>35</v>
      </c>
      <c r="U38" s="5"/>
      <c r="V38" s="22">
        <f t="shared" ref="V38" si="42">+SUM(V20:V37)</f>
        <v>19.18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280</v>
      </c>
      <c r="F39" s="5"/>
      <c r="G39" s="22">
        <f>+SUM(G7:G38)/2</f>
        <v>77.10625313283208</v>
      </c>
      <c r="H39" s="5">
        <f>+SUM(H7:H38)/2</f>
        <v>0</v>
      </c>
      <c r="I39" s="5"/>
      <c r="J39" s="22">
        <f>+SUM(J7:J38)/2</f>
        <v>0</v>
      </c>
      <c r="K39" s="5">
        <f>+SUM(K7:K38)/2</f>
        <v>280</v>
      </c>
      <c r="L39" s="5"/>
      <c r="M39" s="22">
        <f t="shared" ref="M39:T39" si="43">+SUM(M7:M38)/2</f>
        <v>77.10625313283208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11</v>
      </c>
      <c r="S39" s="22">
        <f t="shared" si="43"/>
        <v>3.1772807017543858</v>
      </c>
      <c r="T39" s="5">
        <f t="shared" si="43"/>
        <v>269</v>
      </c>
      <c r="U39" s="5"/>
      <c r="V39" s="22">
        <f>+SUM(V7:V38)/2</f>
        <v>73.928972431077682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81AD-4644-467B-B91D-33E4A9E2D306}">
  <sheetPr>
    <tabColor rgb="FF00B0F0"/>
  </sheetPr>
  <dimension ref="A2:AC47"/>
  <sheetViews>
    <sheetView view="pageBreakPreview" zoomScaleNormal="100" zoomScaleSheetLayoutView="100" workbookViewId="0">
      <pane xSplit="2" ySplit="7" topLeftCell="N8" activePane="bottomRight" state="frozen"/>
      <selection activeCell="K14" sqref="K14"/>
      <selection pane="topRight" activeCell="K14" sqref="K14"/>
      <selection pane="bottomLeft" activeCell="K14" sqref="K14"/>
      <selection pane="bottomRight" activeCell="R17" sqref="R17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hidden="1" customWidth="1"/>
    <col min="4" max="4" width="5.5546875" style="1" customWidth="1"/>
    <col min="5" max="5" width="9.109375" style="1"/>
    <col min="6" max="6" width="9.109375" style="4"/>
    <col min="7" max="7" width="10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10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10" style="4" bestFit="1" customWidth="1"/>
    <col min="23" max="23" width="9.109375" style="1" customWidth="1"/>
    <col min="24" max="24" width="26.5546875" style="1" customWidth="1"/>
    <col min="25" max="25" width="8" style="1" customWidth="1"/>
    <col min="26" max="26" width="9.109375" style="1" customWidth="1"/>
    <col min="27" max="28" width="10.5546875" style="1" customWidth="1"/>
    <col min="29" max="29" width="0" style="1" hidden="1" customWidth="1"/>
    <col min="30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+'29'!T4+1</f>
        <v>45868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  <c r="AC6" s="25" t="s">
        <v>53</v>
      </c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  <c r="AC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+'29'!T8</f>
        <v>1</v>
      </c>
      <c r="F8" s="19">
        <f>+'29'!U8</f>
        <v>0.36249999999999982</v>
      </c>
      <c r="G8" s="17">
        <f>+'29'!V8</f>
        <v>0.36249999999999982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0.36249999999999982</v>
      </c>
      <c r="M8" s="19">
        <f t="shared" ref="M8:M14" si="2">+J8+G8</f>
        <v>0.36249999999999982</v>
      </c>
      <c r="N8" s="17"/>
      <c r="O8" s="18">
        <f>+N8*L8</f>
        <v>0</v>
      </c>
      <c r="P8" s="17"/>
      <c r="Q8" s="18">
        <f>+P8*L8</f>
        <v>0</v>
      </c>
      <c r="R8" s="17"/>
      <c r="S8" s="18">
        <f t="shared" ref="S8:S14" si="3">+R8*L8</f>
        <v>0</v>
      </c>
      <c r="T8" s="17">
        <f t="shared" ref="T8:T14" si="4">+K8-N8-P8-R8</f>
        <v>1</v>
      </c>
      <c r="U8" s="18">
        <f t="shared" ref="U8:U14" si="5">IF(T8=0,,V8/T8)</f>
        <v>0.36249999999999982</v>
      </c>
      <c r="V8" s="18">
        <f t="shared" ref="V8:V14" si="6">+T8*L8</f>
        <v>0.36249999999999982</v>
      </c>
      <c r="W8" s="1" t="str">
        <f>+$B$8</f>
        <v>Cocacola Classic 330ml (24cans)</v>
      </c>
      <c r="Y8" s="2">
        <f>+$R$8</f>
        <v>0</v>
      </c>
      <c r="Z8" s="26">
        <f t="shared" ref="Z8:Z19" si="7">+Y8*1</f>
        <v>0</v>
      </c>
      <c r="AA8" s="38">
        <f>+Y8+'29'!AA8</f>
        <v>22</v>
      </c>
      <c r="AB8" s="30">
        <f>+Z8+'29'!AB8</f>
        <v>22</v>
      </c>
      <c r="AC8" s="27"/>
    </row>
    <row r="9" spans="1:29" ht="15" customHeight="1" x14ac:dyDescent="0.25">
      <c r="A9" s="16">
        <f t="shared" ref="A9:A14" si="8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+'29'!T9</f>
        <v>42</v>
      </c>
      <c r="F9" s="19">
        <f>+'29'!U9</f>
        <v>0.36249999999999993</v>
      </c>
      <c r="G9" s="17">
        <f>+'29'!V9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9">+N9*L9</f>
        <v>0</v>
      </c>
      <c r="P9" s="17"/>
      <c r="Q9" s="18">
        <f t="shared" ref="Q9:Q14" si="10">+P9*L9</f>
        <v>0</v>
      </c>
      <c r="R9" s="17"/>
      <c r="S9" s="18">
        <f t="shared" si="3"/>
        <v>0</v>
      </c>
      <c r="T9" s="17">
        <f t="shared" si="4"/>
        <v>42</v>
      </c>
      <c r="U9" s="18">
        <f t="shared" si="5"/>
        <v>0.36249999999999993</v>
      </c>
      <c r="V9" s="18">
        <f t="shared" si="6"/>
        <v>15.224999999999998</v>
      </c>
      <c r="W9" s="1" t="str">
        <f>+$B$9</f>
        <v>Cocacola Zero 330ml (24cans)</v>
      </c>
      <c r="Y9" s="2">
        <f>+$R$9</f>
        <v>0</v>
      </c>
      <c r="Z9" s="26">
        <f t="shared" si="7"/>
        <v>0</v>
      </c>
      <c r="AA9" s="38">
        <f>+Y9+'29'!AA9</f>
        <v>0</v>
      </c>
      <c r="AB9" s="30">
        <f>+Z9+'29'!AB9</f>
        <v>0</v>
      </c>
      <c r="AC9" s="27"/>
    </row>
    <row r="10" spans="1:29" x14ac:dyDescent="0.25">
      <c r="A10" s="16">
        <f t="shared" si="8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+'29'!T10</f>
        <v>8</v>
      </c>
      <c r="F10" s="19">
        <f>+'29'!U10</f>
        <v>0.36249999999999999</v>
      </c>
      <c r="G10" s="17">
        <f>+'29'!V10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9"/>
        <v>0</v>
      </c>
      <c r="P10" s="17"/>
      <c r="Q10" s="18">
        <f t="shared" si="10"/>
        <v>0</v>
      </c>
      <c r="R10" s="17"/>
      <c r="S10" s="18">
        <f t="shared" si="3"/>
        <v>0</v>
      </c>
      <c r="T10" s="17">
        <f t="shared" si="4"/>
        <v>8</v>
      </c>
      <c r="U10" s="18">
        <f t="shared" si="5"/>
        <v>0.36249999999999999</v>
      </c>
      <c r="V10" s="18">
        <f t="shared" si="6"/>
        <v>2.9</v>
      </c>
      <c r="W10" s="1" t="str">
        <f>+$B$10</f>
        <v>Cocacola Light 330ml (24cans)</v>
      </c>
      <c r="Y10" s="2">
        <f>+$R$10</f>
        <v>0</v>
      </c>
      <c r="Z10" s="26">
        <f t="shared" si="7"/>
        <v>0</v>
      </c>
      <c r="AA10" s="38">
        <f>+Y10+'29'!AA10</f>
        <v>3</v>
      </c>
      <c r="AB10" s="30">
        <f>+Z10+'29'!AB10</f>
        <v>3</v>
      </c>
      <c r="AC10" s="27"/>
    </row>
    <row r="11" spans="1:29" x14ac:dyDescent="0.25">
      <c r="A11" s="16">
        <f t="shared" si="8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+'29'!T11</f>
        <v>22</v>
      </c>
      <c r="F11" s="19">
        <f>+'29'!U11</f>
        <v>0.3</v>
      </c>
      <c r="G11" s="17">
        <f>+'29'!V11</f>
        <v>6.6</v>
      </c>
      <c r="H11" s="17"/>
      <c r="I11" s="18"/>
      <c r="J11" s="18">
        <f t="shared" si="11"/>
        <v>0</v>
      </c>
      <c r="K11" s="16">
        <f t="shared" si="0"/>
        <v>22</v>
      </c>
      <c r="L11" s="19">
        <f t="shared" si="1"/>
        <v>0.3</v>
      </c>
      <c r="M11" s="19">
        <f t="shared" si="2"/>
        <v>6.6</v>
      </c>
      <c r="N11" s="17"/>
      <c r="O11" s="18">
        <f t="shared" si="9"/>
        <v>0</v>
      </c>
      <c r="P11" s="17"/>
      <c r="Q11" s="18">
        <f t="shared" si="10"/>
        <v>0</v>
      </c>
      <c r="R11" s="17"/>
      <c r="S11" s="18">
        <f t="shared" si="3"/>
        <v>0</v>
      </c>
      <c r="T11" s="17">
        <f t="shared" si="4"/>
        <v>22</v>
      </c>
      <c r="U11" s="18">
        <f t="shared" si="5"/>
        <v>0.3</v>
      </c>
      <c r="V11" s="18">
        <f t="shared" si="6"/>
        <v>6.6</v>
      </c>
      <c r="W11" s="1" t="str">
        <f>+$B$11</f>
        <v>Sprite 330ml (24cans)</v>
      </c>
      <c r="Y11" s="2">
        <f>+$R$11</f>
        <v>0</v>
      </c>
      <c r="Z11" s="26">
        <f t="shared" si="7"/>
        <v>0</v>
      </c>
      <c r="AA11" s="38">
        <f>+Y11+'29'!AA11</f>
        <v>4</v>
      </c>
      <c r="AB11" s="30">
        <f>+Z11+'29'!AB11</f>
        <v>4</v>
      </c>
      <c r="AC11" s="27"/>
    </row>
    <row r="12" spans="1:29" x14ac:dyDescent="0.25">
      <c r="A12" s="16">
        <f t="shared" si="8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+'29'!T12</f>
        <v>4</v>
      </c>
      <c r="F12" s="19">
        <f>+'29'!U12</f>
        <v>0.36249999999999999</v>
      </c>
      <c r="G12" s="17">
        <f>+'29'!V12</f>
        <v>1.45</v>
      </c>
      <c r="H12" s="17"/>
      <c r="I12" s="18"/>
      <c r="J12" s="18">
        <f t="shared" si="11"/>
        <v>0</v>
      </c>
      <c r="K12" s="16">
        <f t="shared" si="0"/>
        <v>4</v>
      </c>
      <c r="L12" s="19">
        <f t="shared" si="1"/>
        <v>0.36249999999999999</v>
      </c>
      <c r="M12" s="19">
        <f t="shared" si="2"/>
        <v>1.45</v>
      </c>
      <c r="N12" s="17"/>
      <c r="O12" s="18">
        <f t="shared" si="9"/>
        <v>0</v>
      </c>
      <c r="P12" s="17"/>
      <c r="Q12" s="18">
        <f t="shared" si="10"/>
        <v>0</v>
      </c>
      <c r="R12" s="17"/>
      <c r="S12" s="18">
        <f t="shared" si="3"/>
        <v>0</v>
      </c>
      <c r="T12" s="17">
        <f t="shared" si="4"/>
        <v>4</v>
      </c>
      <c r="U12" s="18">
        <f t="shared" si="5"/>
        <v>0.36249999999999999</v>
      </c>
      <c r="V12" s="18">
        <f t="shared" si="6"/>
        <v>1.45</v>
      </c>
      <c r="W12" s="1" t="str">
        <f>+$B$12</f>
        <v>Schweppes Soda Water 330ml (24cans)</v>
      </c>
      <c r="Y12" s="2">
        <f>+$R$12</f>
        <v>0</v>
      </c>
      <c r="Z12" s="26">
        <f t="shared" si="7"/>
        <v>0</v>
      </c>
      <c r="AA12" s="38">
        <f>+Y12+'29'!AA12</f>
        <v>8</v>
      </c>
      <c r="AB12" s="30">
        <f>+Z12+'29'!AB12</f>
        <v>8</v>
      </c>
      <c r="AC12" s="27"/>
    </row>
    <row r="13" spans="1:29" x14ac:dyDescent="0.25">
      <c r="A13" s="16">
        <f t="shared" si="8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+'29'!T13</f>
        <v>17</v>
      </c>
      <c r="F13" s="19">
        <f>+'29'!U13</f>
        <v>0.36249999999999999</v>
      </c>
      <c r="G13" s="17">
        <f>+'29'!V13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9"/>
        <v>0</v>
      </c>
      <c r="P13" s="17"/>
      <c r="Q13" s="18">
        <f t="shared" si="10"/>
        <v>0</v>
      </c>
      <c r="R13" s="17"/>
      <c r="S13" s="18">
        <f t="shared" si="3"/>
        <v>0</v>
      </c>
      <c r="T13" s="17">
        <f t="shared" si="4"/>
        <v>17</v>
      </c>
      <c r="U13" s="18">
        <f t="shared" si="5"/>
        <v>0.36249999999999999</v>
      </c>
      <c r="V13" s="18">
        <f t="shared" si="6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7"/>
        <v>0</v>
      </c>
      <c r="AA13" s="38">
        <f>+Y13+'29'!AA13</f>
        <v>2</v>
      </c>
      <c r="AB13" s="30">
        <f>+Z13+'29'!AB13</f>
        <v>2</v>
      </c>
      <c r="AC13" s="27"/>
    </row>
    <row r="14" spans="1:29" x14ac:dyDescent="0.25">
      <c r="A14" s="16">
        <f t="shared" si="8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+'29'!T14</f>
        <v>16</v>
      </c>
      <c r="F14" s="19">
        <f>+'29'!U14</f>
        <v>0.36249999999999999</v>
      </c>
      <c r="G14" s="17">
        <f>+'29'!V14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9"/>
        <v>0</v>
      </c>
      <c r="P14" s="17"/>
      <c r="Q14" s="18">
        <f t="shared" si="10"/>
        <v>0</v>
      </c>
      <c r="R14" s="17"/>
      <c r="S14" s="18">
        <f t="shared" si="3"/>
        <v>0</v>
      </c>
      <c r="T14" s="17">
        <f t="shared" si="4"/>
        <v>16</v>
      </c>
      <c r="U14" s="18">
        <f t="shared" si="5"/>
        <v>0.36249999999999999</v>
      </c>
      <c r="V14" s="18">
        <f t="shared" si="6"/>
        <v>5.8</v>
      </c>
      <c r="W14" s="1" t="str">
        <f>+$B$14</f>
        <v>Schweppes Ginger Ale 330ml (24cans)</v>
      </c>
      <c r="Y14" s="2">
        <f>+$R$14</f>
        <v>0</v>
      </c>
      <c r="Z14" s="26">
        <f t="shared" si="7"/>
        <v>0</v>
      </c>
      <c r="AA14" s="38">
        <f>+Y14+'29'!AA14</f>
        <v>4</v>
      </c>
      <c r="AB14" s="30">
        <f>+Z14+'29'!AB14</f>
        <v>4</v>
      </c>
      <c r="AC14" s="27"/>
    </row>
    <row r="15" spans="1:29" s="3" customFormat="1" ht="24.7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110</v>
      </c>
      <c r="F15" s="5"/>
      <c r="G15" s="22">
        <f>+SUM(G8:G14)</f>
        <v>38.499999999999993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110</v>
      </c>
      <c r="L15" s="5"/>
      <c r="M15" s="22">
        <f t="shared" ref="M15:T15" si="13">+SUM(M8:M14)</f>
        <v>38.499999999999993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110</v>
      </c>
      <c r="U15" s="5"/>
      <c r="V15" s="22">
        <f t="shared" ref="V15" si="14">+SUM(V8:V14)</f>
        <v>38.499999999999993</v>
      </c>
      <c r="W15" s="1" t="str">
        <f>+$B$17</f>
        <v>Dasani 500ml (24 Btl)</v>
      </c>
      <c r="Y15" s="2">
        <f>+$R$17</f>
        <v>6</v>
      </c>
      <c r="Z15" s="26">
        <f>+Y15*0.5</f>
        <v>3</v>
      </c>
      <c r="AA15" s="38">
        <f>+Y15+'29'!AA15</f>
        <v>36</v>
      </c>
      <c r="AB15" s="30">
        <f>+Z15+'29'!AB15</f>
        <v>18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8">
        <f>+Y16+'29'!AA16</f>
        <v>11</v>
      </c>
      <c r="AB16" s="30">
        <f>+Z16+'29'!AB16</f>
        <v>13.75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+'29'!T17</f>
        <v>124</v>
      </c>
      <c r="F17" s="19">
        <f>+'29'!U17</f>
        <v>0.13104010025062657</v>
      </c>
      <c r="G17" s="19">
        <f>+'29'!V17</f>
        <v>16.248972431077693</v>
      </c>
      <c r="H17" s="17"/>
      <c r="I17" s="18"/>
      <c r="J17" s="18">
        <f t="shared" ref="J17" si="15">+H17*I17</f>
        <v>0</v>
      </c>
      <c r="K17" s="16">
        <f>+E17+H17</f>
        <v>124</v>
      </c>
      <c r="L17" s="19">
        <f t="shared" ref="L17" si="16">IF(K17=0,,M17/K17)</f>
        <v>0.13104010025062657</v>
      </c>
      <c r="M17" s="19">
        <f>+J17+G17</f>
        <v>16.248972431077693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6</v>
      </c>
      <c r="S17" s="18">
        <f t="shared" ref="S17" si="19">+R17*L17</f>
        <v>0.78624060150375941</v>
      </c>
      <c r="T17" s="17">
        <f t="shared" ref="T17" si="20">+K17-N17-P17-R17</f>
        <v>118</v>
      </c>
      <c r="U17" s="18">
        <f t="shared" ref="U17" si="21">IF(T17=0,,V17/T17)</f>
        <v>0.13104010025062657</v>
      </c>
      <c r="V17" s="18">
        <f t="shared" ref="V17" si="22">+T17*L17</f>
        <v>15.462731829573935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8">
        <f>+Y17+'29'!AA17</f>
        <v>15</v>
      </c>
      <c r="AB17" s="30">
        <f>+Z17+'29'!AB17</f>
        <v>18.75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124</v>
      </c>
      <c r="F18" s="5"/>
      <c r="G18" s="22">
        <f>+G17</f>
        <v>16.248972431077693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124</v>
      </c>
      <c r="L18" s="5"/>
      <c r="M18" s="22">
        <f t="shared" ref="M18:T18" si="25">+M17</f>
        <v>16.248972431077693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6</v>
      </c>
      <c r="S18" s="22">
        <f t="shared" si="25"/>
        <v>0.78624060150375941</v>
      </c>
      <c r="T18" s="5">
        <f t="shared" si="25"/>
        <v>118</v>
      </c>
      <c r="U18" s="5"/>
      <c r="V18" s="22">
        <f t="shared" ref="V18" si="26">+V17</f>
        <v>15.462731829573935</v>
      </c>
      <c r="Y18" s="34">
        <f>+$R$22</f>
        <v>0</v>
      </c>
      <c r="Z18" s="26">
        <f t="shared" si="7"/>
        <v>0</v>
      </c>
      <c r="AA18" s="38">
        <f>+Y18+'29'!AA18</f>
        <v>0</v>
      </c>
      <c r="AB18" s="30">
        <f>+Z18+'29'!AB18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7"/>
        <v>0</v>
      </c>
      <c r="AA19" s="38">
        <f>+Y19+'29'!AA19</f>
        <v>0</v>
      </c>
      <c r="AB19" s="30">
        <f>+Z19+'29'!AB19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+'29'!T20</f>
        <v>21</v>
      </c>
      <c r="F20" s="19">
        <f>+'29'!U20</f>
        <v>0.48</v>
      </c>
      <c r="G20" s="17">
        <f>+'29'!V20</f>
        <v>10.08</v>
      </c>
      <c r="H20" s="17"/>
      <c r="I20" s="18"/>
      <c r="J20" s="18">
        <f t="shared" ref="J20:J37" si="28">+H20*I20</f>
        <v>0</v>
      </c>
      <c r="K20" s="16">
        <f t="shared" ref="K20:K37" si="29">+E20+H20</f>
        <v>21</v>
      </c>
      <c r="L20" s="19">
        <f t="shared" ref="L20:L37" si="30">IF(K20=0,,M20/K20)</f>
        <v>0.48</v>
      </c>
      <c r="M20" s="19">
        <f t="shared" ref="M20:M37" si="31">+J20+G20</f>
        <v>10.08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21</v>
      </c>
      <c r="U20" s="18">
        <f t="shared" ref="U20:U37" si="35">IF(T20=0,,V20/T20)</f>
        <v>0.48</v>
      </c>
      <c r="V20" s="18">
        <f t="shared" ref="V20:V37" si="36">+T20*L20</f>
        <v>10.08</v>
      </c>
      <c r="W20" s="70" t="s">
        <v>43</v>
      </c>
      <c r="X20" s="70"/>
      <c r="Y20" s="28">
        <f>+SUM(Y8:Y19)</f>
        <v>6</v>
      </c>
      <c r="Z20" s="31">
        <f>+SUM(Z8:Z19)</f>
        <v>3</v>
      </c>
      <c r="AA20" s="28">
        <f>+SUM(AA8:AA19)</f>
        <v>105</v>
      </c>
      <c r="AB20" s="31">
        <f>+SUM(AB8:AB19)</f>
        <v>93.5</v>
      </c>
      <c r="AC20" s="32">
        <f>+SUM(AC8:AC19)</f>
        <v>0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+'29'!T21</f>
        <v>14</v>
      </c>
      <c r="F21" s="19">
        <f>+'29'!U21</f>
        <v>0.65000000000000013</v>
      </c>
      <c r="G21" s="17">
        <f>+'29'!V21</f>
        <v>9.1000000000000014</v>
      </c>
      <c r="H21" s="17"/>
      <c r="I21" s="18"/>
      <c r="J21" s="18">
        <f t="shared" si="28"/>
        <v>0</v>
      </c>
      <c r="K21" s="16">
        <f t="shared" si="29"/>
        <v>14</v>
      </c>
      <c r="L21" s="19">
        <f t="shared" si="30"/>
        <v>0.65000000000000013</v>
      </c>
      <c r="M21" s="19">
        <f t="shared" si="31"/>
        <v>9.1000000000000014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14</v>
      </c>
      <c r="U21" s="18">
        <f t="shared" si="35"/>
        <v>0.65000000000000013</v>
      </c>
      <c r="V21" s="18">
        <f t="shared" si="36"/>
        <v>9.1000000000000014</v>
      </c>
      <c r="AA21" s="27"/>
      <c r="AB21" s="27"/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+'29'!T22</f>
        <v>0</v>
      </c>
      <c r="F22" s="19">
        <f>+'29'!U22</f>
        <v>0</v>
      </c>
      <c r="G22" s="17">
        <f>+'29'!V22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+'29'!T23</f>
        <v>0</v>
      </c>
      <c r="F23" s="19">
        <f>+'29'!U23</f>
        <v>0</v>
      </c>
      <c r="G23" s="17">
        <f>+'29'!V23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+'29'!T24</f>
        <v>0</v>
      </c>
      <c r="F24" s="19">
        <f>+'29'!U24</f>
        <v>0</v>
      </c>
      <c r="G24" s="17">
        <f>+'29'!V24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+'29'!T25</f>
        <v>0</v>
      </c>
      <c r="F25" s="19">
        <f>+'29'!U25</f>
        <v>0</v>
      </c>
      <c r="G25" s="17">
        <f>+'29'!V25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+'29'!T26</f>
        <v>0</v>
      </c>
      <c r="F26" s="19">
        <f>+'29'!U26</f>
        <v>0</v>
      </c>
      <c r="G26" s="17">
        <f>+'29'!V26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+'29'!T27</f>
        <v>0</v>
      </c>
      <c r="F27" s="19">
        <f>+'29'!U27</f>
        <v>0</v>
      </c>
      <c r="G27" s="17">
        <f>+'29'!V27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+'29'!T28</f>
        <v>0</v>
      </c>
      <c r="F28" s="19">
        <f>+'29'!U28</f>
        <v>0</v>
      </c>
      <c r="G28" s="17">
        <f>+'29'!V28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+'29'!T29</f>
        <v>0</v>
      </c>
      <c r="F29" s="19">
        <f>+'29'!U29</f>
        <v>0</v>
      </c>
      <c r="G29" s="17">
        <f>+'29'!V29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+'29'!T30</f>
        <v>0</v>
      </c>
      <c r="F30" s="19">
        <f>+'29'!U30</f>
        <v>0</v>
      </c>
      <c r="G30" s="17">
        <f>+'29'!V30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+'29'!T31</f>
        <v>0</v>
      </c>
      <c r="F31" s="19">
        <f>+'29'!U31</f>
        <v>0</v>
      </c>
      <c r="G31" s="17">
        <f>+'29'!V31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+'29'!T32</f>
        <v>0</v>
      </c>
      <c r="F32" s="19">
        <f>+'29'!U32</f>
        <v>0</v>
      </c>
      <c r="G32" s="17">
        <f>+'29'!V32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+'29'!T33</f>
        <v>0</v>
      </c>
      <c r="F33" s="19">
        <f>+'29'!U33</f>
        <v>0</v>
      </c>
      <c r="G33" s="17">
        <f>+'29'!V33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+'29'!T34</f>
        <v>0</v>
      </c>
      <c r="F34" s="19">
        <f>+'29'!U34</f>
        <v>0</v>
      </c>
      <c r="G34" s="17">
        <f>+'29'!V34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+'29'!T35</f>
        <v>0</v>
      </c>
      <c r="F35" s="19">
        <f>+'29'!U35</f>
        <v>0</v>
      </c>
      <c r="G35" s="17">
        <f>+'29'!V35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+'29'!T36</f>
        <v>0</v>
      </c>
      <c r="F36" s="19">
        <f>+'29'!U36</f>
        <v>0</v>
      </c>
      <c r="G36" s="17">
        <f>+'29'!V36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+'29'!T37</f>
        <v>0</v>
      </c>
      <c r="F37" s="19">
        <f>+'29'!U37</f>
        <v>0</v>
      </c>
      <c r="G37" s="17">
        <f>+'29'!V37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35</v>
      </c>
      <c r="F38" s="5"/>
      <c r="G38" s="22">
        <f>+SUM(G20:G37)</f>
        <v>19.18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35</v>
      </c>
      <c r="L38" s="5"/>
      <c r="M38" s="22">
        <f t="shared" ref="M38:T38" si="41">+SUM(M20:M37)</f>
        <v>19.18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35</v>
      </c>
      <c r="U38" s="5"/>
      <c r="V38" s="22">
        <f t="shared" ref="V38" si="42">+SUM(V20:V37)</f>
        <v>19.18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269</v>
      </c>
      <c r="F39" s="5"/>
      <c r="G39" s="22">
        <f>+SUM(G7:G38)/2</f>
        <v>73.928972431077682</v>
      </c>
      <c r="H39" s="5">
        <f>+SUM(H7:H38)/2</f>
        <v>0</v>
      </c>
      <c r="I39" s="5"/>
      <c r="J39" s="22">
        <f>+SUM(J7:J38)/2</f>
        <v>0</v>
      </c>
      <c r="K39" s="5">
        <f>+SUM(K7:K38)/2</f>
        <v>269</v>
      </c>
      <c r="L39" s="5"/>
      <c r="M39" s="22">
        <f t="shared" ref="M39:T39" si="43">+SUM(M7:M38)/2</f>
        <v>73.928972431077682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6</v>
      </c>
      <c r="S39" s="22">
        <f t="shared" si="43"/>
        <v>0.78624060150375941</v>
      </c>
      <c r="T39" s="5">
        <f t="shared" si="43"/>
        <v>263</v>
      </c>
      <c r="U39" s="5"/>
      <c r="V39" s="22">
        <f>+SUM(V7:V38)/2</f>
        <v>73.142731829573933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68D7-2F8B-4A43-B0F4-7692FA4A004E}">
  <sheetPr>
    <tabColor rgb="FF00B0F0"/>
  </sheetPr>
  <dimension ref="A2:AC47"/>
  <sheetViews>
    <sheetView view="pageBreakPreview" zoomScaleNormal="100" zoomScaleSheetLayoutView="100" workbookViewId="0">
      <pane xSplit="2" ySplit="7" topLeftCell="M8" activePane="bottomRight" state="frozen"/>
      <selection activeCell="K14" sqref="K14"/>
      <selection pane="topRight" activeCell="K14" sqref="K14"/>
      <selection pane="bottomLeft" activeCell="K14" sqref="K14"/>
      <selection pane="bottomRight" activeCell="R13" sqref="R13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22.33203125" style="1" customWidth="1"/>
    <col min="4" max="4" width="5.5546875" style="1" customWidth="1"/>
    <col min="5" max="5" width="9.109375" style="1"/>
    <col min="6" max="6" width="9.109375" style="4"/>
    <col min="7" max="7" width="9.88671875" style="1" bestFit="1" customWidth="1"/>
    <col min="8" max="8" width="9.109375" style="1"/>
    <col min="9" max="9" width="9.109375" style="4"/>
    <col min="10" max="10" width="9.109375" style="1"/>
    <col min="11" max="11" width="9.109375" style="2"/>
    <col min="12" max="12" width="9.109375" style="4" customWidth="1"/>
    <col min="13" max="13" width="9.88671875" style="1" bestFit="1" customWidth="1"/>
    <col min="14" max="14" width="9.109375" style="1"/>
    <col min="15" max="15" width="9.109375" style="4"/>
    <col min="16" max="16" width="0" style="1" hidden="1" customWidth="1"/>
    <col min="17" max="17" width="0" style="4" hidden="1" customWidth="1"/>
    <col min="18" max="18" width="9.109375" style="1"/>
    <col min="19" max="19" width="9.6640625" style="4" customWidth="1"/>
    <col min="20" max="20" width="9.88671875" style="1" customWidth="1"/>
    <col min="21" max="21" width="9.109375" style="4"/>
    <col min="22" max="22" width="9.88671875" style="4" bestFit="1" customWidth="1"/>
    <col min="23" max="23" width="9.109375" style="1" customWidth="1"/>
    <col min="24" max="24" width="24.88671875" style="1" customWidth="1"/>
    <col min="25" max="25" width="6.44140625" style="1" customWidth="1"/>
    <col min="26" max="26" width="11.109375" style="1" customWidth="1"/>
    <col min="27" max="28" width="10.5546875" style="1" customWidth="1"/>
    <col min="29" max="16384" width="9.109375" style="1"/>
  </cols>
  <sheetData>
    <row r="2" spans="1:29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9" ht="21" x14ac:dyDescent="0.4">
      <c r="S4" s="4" t="s">
        <v>37</v>
      </c>
      <c r="T4" s="79">
        <f>+'30'!T4+1</f>
        <v>45869</v>
      </c>
      <c r="U4" s="79"/>
      <c r="V4" s="79"/>
      <c r="W4" s="82" t="s">
        <v>56</v>
      </c>
      <c r="X4" s="82"/>
      <c r="Y4" s="82"/>
      <c r="Z4" s="82"/>
      <c r="AA4" s="82"/>
      <c r="AB4" s="82"/>
    </row>
    <row r="5" spans="1:29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70</v>
      </c>
      <c r="S5" s="76" t="s">
        <v>14</v>
      </c>
      <c r="T5" s="76" t="s">
        <v>16</v>
      </c>
      <c r="U5" s="76"/>
      <c r="V5" s="76"/>
      <c r="W5" s="84"/>
      <c r="X5" s="84"/>
    </row>
    <row r="6" spans="1:29" s="6" customFormat="1" ht="24.75" customHeight="1" x14ac:dyDescent="0.3">
      <c r="A6" s="76"/>
      <c r="B6" s="5" t="s">
        <v>2</v>
      </c>
      <c r="C6" s="5" t="s">
        <v>3</v>
      </c>
      <c r="D6" s="77"/>
      <c r="E6" s="78" t="s">
        <v>5</v>
      </c>
      <c r="F6" s="78"/>
      <c r="G6" s="78"/>
      <c r="H6" s="78" t="s">
        <v>7</v>
      </c>
      <c r="I6" s="78"/>
      <c r="J6" s="78"/>
      <c r="K6" s="78" t="s">
        <v>9</v>
      </c>
      <c r="L6" s="78"/>
      <c r="M6" s="78"/>
      <c r="N6" s="78" t="s">
        <v>46</v>
      </c>
      <c r="O6" s="78" t="s">
        <v>11</v>
      </c>
      <c r="P6" s="78" t="s">
        <v>13</v>
      </c>
      <c r="Q6" s="78" t="s">
        <v>15</v>
      </c>
      <c r="R6" s="78" t="s">
        <v>15</v>
      </c>
      <c r="S6" s="78" t="s">
        <v>15</v>
      </c>
      <c r="T6" s="78" t="s">
        <v>17</v>
      </c>
      <c r="U6" s="78"/>
      <c r="V6" s="78"/>
      <c r="W6" s="71" t="s">
        <v>52</v>
      </c>
      <c r="X6" s="71"/>
      <c r="Y6" s="71"/>
      <c r="Z6" s="71"/>
      <c r="AA6" s="71" t="s">
        <v>53</v>
      </c>
      <c r="AB6" s="71"/>
    </row>
    <row r="7" spans="1:29" s="3" customFormat="1" ht="24.75" customHeight="1" x14ac:dyDescent="0.5">
      <c r="A7" s="5"/>
      <c r="B7" s="39" t="str">
        <f>'01'!B7</f>
        <v xml:space="preserve">Soft Drink </v>
      </c>
      <c r="C7" s="44" t="s">
        <v>59</v>
      </c>
      <c r="D7" s="39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" t="s">
        <v>35</v>
      </c>
      <c r="W7" s="33"/>
      <c r="X7" s="33"/>
      <c r="Y7" s="33" t="s">
        <v>55</v>
      </c>
      <c r="Z7" s="33" t="s">
        <v>54</v>
      </c>
      <c r="AA7" s="25" t="s">
        <v>55</v>
      </c>
      <c r="AB7" s="25" t="s">
        <v>35</v>
      </c>
    </row>
    <row r="8" spans="1:29" ht="15" customHeight="1" x14ac:dyDescent="0.25">
      <c r="A8" s="16">
        <v>1</v>
      </c>
      <c r="B8" s="17" t="str">
        <f>'01'!B8</f>
        <v>Cocacola Classic 330ml (24cans)</v>
      </c>
      <c r="C8" s="17" t="str">
        <f>'01'!C8</f>
        <v>កូកា ក្លាស៊ិក (កំប៉ុង៣៣០មម)</v>
      </c>
      <c r="D8" s="16">
        <f>'01'!D8</f>
        <v>48</v>
      </c>
      <c r="E8" s="17">
        <f>+'30'!T8</f>
        <v>1</v>
      </c>
      <c r="F8" s="19">
        <f>+'30'!U8</f>
        <v>0.36249999999999982</v>
      </c>
      <c r="G8" s="17">
        <f>+'30'!V8</f>
        <v>0.36249999999999982</v>
      </c>
      <c r="H8" s="17"/>
      <c r="I8" s="18"/>
      <c r="J8" s="18">
        <f>+H8*I8</f>
        <v>0</v>
      </c>
      <c r="K8" s="16">
        <f t="shared" ref="K8:K14" si="0">+E8+H8</f>
        <v>1</v>
      </c>
      <c r="L8" s="19">
        <f t="shared" ref="L8:L14" si="1">IF(K8=0,,M8/K8)</f>
        <v>0.36249999999999982</v>
      </c>
      <c r="M8" s="19">
        <f t="shared" ref="M8:M14" si="2">+J8+G8</f>
        <v>0.36249999999999982</v>
      </c>
      <c r="N8" s="17"/>
      <c r="O8" s="18">
        <f>+N8*L8</f>
        <v>0</v>
      </c>
      <c r="P8" s="17"/>
      <c r="Q8" s="18">
        <f>+P8*L8</f>
        <v>0</v>
      </c>
      <c r="R8" s="17"/>
      <c r="S8" s="18">
        <f>+R8*L8</f>
        <v>0</v>
      </c>
      <c r="T8" s="17">
        <f t="shared" ref="T8:T14" si="3">+K8-N8-P8-R8</f>
        <v>1</v>
      </c>
      <c r="U8" s="18">
        <f>IF(T8=0,,V8/T8)</f>
        <v>0.36249999999999982</v>
      </c>
      <c r="V8" s="18">
        <f t="shared" ref="V8:V14" si="4">+T8*L8</f>
        <v>0.36249999999999982</v>
      </c>
      <c r="W8" s="1" t="str">
        <f>+$B$8</f>
        <v>Cocacola Classic 330ml (24cans)</v>
      </c>
      <c r="Y8" s="2">
        <f>+$R$8</f>
        <v>0</v>
      </c>
      <c r="Z8" s="26">
        <f t="shared" ref="Z8:Z19" si="5">+Y8*1</f>
        <v>0</v>
      </c>
      <c r="AA8" s="38">
        <f>+Y8+'30'!AA8</f>
        <v>22</v>
      </c>
      <c r="AB8" s="30">
        <f>+Z8+'30'!AB8</f>
        <v>22</v>
      </c>
      <c r="AC8" s="27"/>
    </row>
    <row r="9" spans="1:29" ht="15" customHeight="1" x14ac:dyDescent="0.25">
      <c r="A9" s="16">
        <f t="shared" ref="A9:A14" si="6">+A8+1</f>
        <v>2</v>
      </c>
      <c r="B9" s="17" t="str">
        <f>'01'!B9</f>
        <v>Cocacola Zero 330ml (24cans)</v>
      </c>
      <c r="C9" s="17" t="str">
        <f>'01'!C9</f>
        <v>កូកា សេរ៉ូ (កំប៉ុង៣៣០មម)</v>
      </c>
      <c r="D9" s="16">
        <f>'01'!D9</f>
        <v>48</v>
      </c>
      <c r="E9" s="17">
        <f>+'30'!T9</f>
        <v>42</v>
      </c>
      <c r="F9" s="19">
        <f>+'30'!U9</f>
        <v>0.36249999999999993</v>
      </c>
      <c r="G9" s="17">
        <f>+'30'!V9</f>
        <v>15.224999999999998</v>
      </c>
      <c r="H9" s="17"/>
      <c r="I9" s="18"/>
      <c r="J9" s="18">
        <f>+H9*I9</f>
        <v>0</v>
      </c>
      <c r="K9" s="16">
        <f t="shared" si="0"/>
        <v>42</v>
      </c>
      <c r="L9" s="19">
        <f t="shared" si="1"/>
        <v>0.36249999999999993</v>
      </c>
      <c r="M9" s="19">
        <f t="shared" si="2"/>
        <v>15.224999999999998</v>
      </c>
      <c r="N9" s="17"/>
      <c r="O9" s="18">
        <f t="shared" ref="O9:O14" si="7">+N9*L9</f>
        <v>0</v>
      </c>
      <c r="P9" s="17"/>
      <c r="Q9" s="18">
        <f t="shared" ref="Q9:Q14" si="8">+P9*L9</f>
        <v>0</v>
      </c>
      <c r="R9" s="17"/>
      <c r="S9" s="18">
        <f t="shared" ref="S9:S14" si="9">+R9*L9</f>
        <v>0</v>
      </c>
      <c r="T9" s="17">
        <f t="shared" si="3"/>
        <v>42</v>
      </c>
      <c r="U9" s="18">
        <f t="shared" ref="U9:U14" si="10">IF(T9=0,,V9/T9)</f>
        <v>0.36249999999999993</v>
      </c>
      <c r="V9" s="18">
        <f t="shared" si="4"/>
        <v>15.224999999999998</v>
      </c>
      <c r="W9" s="1" t="str">
        <f>+$B$9</f>
        <v>Cocacola Zero 330ml (24cans)</v>
      </c>
      <c r="Y9" s="2">
        <f>+$R$9</f>
        <v>0</v>
      </c>
      <c r="Z9" s="26">
        <f t="shared" si="5"/>
        <v>0</v>
      </c>
      <c r="AA9" s="38">
        <f>+Y9+'30'!AA9</f>
        <v>0</v>
      </c>
      <c r="AB9" s="30">
        <f>+Z9+'30'!AB9</f>
        <v>0</v>
      </c>
      <c r="AC9" s="27"/>
    </row>
    <row r="10" spans="1:29" x14ac:dyDescent="0.25">
      <c r="A10" s="16">
        <f t="shared" si="6"/>
        <v>3</v>
      </c>
      <c r="B10" s="17" t="str">
        <f>'01'!B10</f>
        <v>Cocacola Light 330ml (24cans)</v>
      </c>
      <c r="C10" s="17" t="str">
        <f>'01'!C10</f>
        <v>កូកា ឡៃ (កំប៉ុង៣៣០មម)</v>
      </c>
      <c r="D10" s="16">
        <f>'01'!D10</f>
        <v>48</v>
      </c>
      <c r="E10" s="17">
        <f>+'30'!T10</f>
        <v>8</v>
      </c>
      <c r="F10" s="19">
        <f>+'30'!U10</f>
        <v>0.36249999999999999</v>
      </c>
      <c r="G10" s="17">
        <f>+'30'!V10</f>
        <v>2.9</v>
      </c>
      <c r="H10" s="17"/>
      <c r="I10" s="18"/>
      <c r="J10" s="18">
        <f t="shared" ref="J10:J14" si="11">+H10*I10</f>
        <v>0</v>
      </c>
      <c r="K10" s="16">
        <f t="shared" si="0"/>
        <v>8</v>
      </c>
      <c r="L10" s="19">
        <f t="shared" si="1"/>
        <v>0.36249999999999999</v>
      </c>
      <c r="M10" s="19">
        <f t="shared" si="2"/>
        <v>2.9</v>
      </c>
      <c r="N10" s="17"/>
      <c r="O10" s="18">
        <f t="shared" si="7"/>
        <v>0</v>
      </c>
      <c r="P10" s="17"/>
      <c r="Q10" s="18">
        <f t="shared" si="8"/>
        <v>0</v>
      </c>
      <c r="R10" s="17"/>
      <c r="S10" s="18">
        <f t="shared" si="9"/>
        <v>0</v>
      </c>
      <c r="T10" s="17">
        <f t="shared" si="3"/>
        <v>8</v>
      </c>
      <c r="U10" s="18">
        <f t="shared" si="10"/>
        <v>0.36249999999999999</v>
      </c>
      <c r="V10" s="18">
        <f t="shared" si="4"/>
        <v>2.9</v>
      </c>
      <c r="W10" s="1" t="str">
        <f>+$B$10</f>
        <v>Cocacola Light 330ml (24cans)</v>
      </c>
      <c r="Y10" s="2">
        <f>+$R$10</f>
        <v>0</v>
      </c>
      <c r="Z10" s="26">
        <f t="shared" si="5"/>
        <v>0</v>
      </c>
      <c r="AA10" s="38">
        <f>+Y10+'30'!AA10</f>
        <v>3</v>
      </c>
      <c r="AB10" s="30">
        <f>+Z10+'30'!AB10</f>
        <v>3</v>
      </c>
      <c r="AC10" s="27"/>
    </row>
    <row r="11" spans="1:29" x14ac:dyDescent="0.25">
      <c r="A11" s="16">
        <f t="shared" si="6"/>
        <v>4</v>
      </c>
      <c r="B11" s="17" t="str">
        <f>'01'!B11</f>
        <v>Sprite 330ml (24cans)</v>
      </c>
      <c r="C11" s="17" t="str">
        <f>'01'!C11</f>
        <v>ស្ព្រៃ (កំប៉ុង៣៣០មម)</v>
      </c>
      <c r="D11" s="16">
        <f>'01'!D11</f>
        <v>48</v>
      </c>
      <c r="E11" s="17">
        <f>+'30'!T11</f>
        <v>22</v>
      </c>
      <c r="F11" s="19">
        <f>+'30'!U11</f>
        <v>0.3</v>
      </c>
      <c r="G11" s="17">
        <f>+'30'!V11</f>
        <v>6.6</v>
      </c>
      <c r="H11" s="17"/>
      <c r="I11" s="18"/>
      <c r="J11" s="18">
        <f t="shared" si="11"/>
        <v>0</v>
      </c>
      <c r="K11" s="16">
        <f t="shared" si="0"/>
        <v>22</v>
      </c>
      <c r="L11" s="19">
        <f t="shared" si="1"/>
        <v>0.3</v>
      </c>
      <c r="M11" s="19">
        <f t="shared" si="2"/>
        <v>6.6</v>
      </c>
      <c r="N11" s="17"/>
      <c r="O11" s="18">
        <f t="shared" si="7"/>
        <v>0</v>
      </c>
      <c r="P11" s="17"/>
      <c r="Q11" s="18">
        <f t="shared" si="8"/>
        <v>0</v>
      </c>
      <c r="R11" s="17"/>
      <c r="S11" s="18">
        <f t="shared" si="9"/>
        <v>0</v>
      </c>
      <c r="T11" s="17">
        <f t="shared" si="3"/>
        <v>22</v>
      </c>
      <c r="U11" s="18">
        <f t="shared" si="10"/>
        <v>0.3</v>
      </c>
      <c r="V11" s="18">
        <f t="shared" si="4"/>
        <v>6.6</v>
      </c>
      <c r="W11" s="1" t="str">
        <f>+$B$11</f>
        <v>Sprite 330ml (24cans)</v>
      </c>
      <c r="Y11" s="2">
        <f>+$R$11</f>
        <v>0</v>
      </c>
      <c r="Z11" s="26">
        <f t="shared" si="5"/>
        <v>0</v>
      </c>
      <c r="AA11" s="38">
        <f>+Y11+'30'!AA11</f>
        <v>4</v>
      </c>
      <c r="AB11" s="30">
        <f>+Z11+'30'!AB11</f>
        <v>4</v>
      </c>
      <c r="AC11" s="27"/>
    </row>
    <row r="12" spans="1:29" x14ac:dyDescent="0.25">
      <c r="A12" s="16">
        <f t="shared" si="6"/>
        <v>5</v>
      </c>
      <c r="B12" s="17" t="str">
        <f>'01'!B12</f>
        <v>Schweppes Soda Water 330ml (24cans)</v>
      </c>
      <c r="C12" s="17" t="str">
        <f>'01'!C12</f>
        <v>ទឹកសូដា (កំប៉ុង៣៣០មម)</v>
      </c>
      <c r="D12" s="16">
        <f>'01'!D12</f>
        <v>48</v>
      </c>
      <c r="E12" s="17">
        <f>+'30'!T12</f>
        <v>4</v>
      </c>
      <c r="F12" s="19">
        <f>+'30'!U12</f>
        <v>0.36249999999999999</v>
      </c>
      <c r="G12" s="17">
        <f>+'30'!V12</f>
        <v>1.45</v>
      </c>
      <c r="H12" s="17"/>
      <c r="I12" s="18"/>
      <c r="J12" s="18">
        <f t="shared" si="11"/>
        <v>0</v>
      </c>
      <c r="K12" s="16">
        <f t="shared" si="0"/>
        <v>4</v>
      </c>
      <c r="L12" s="19">
        <f t="shared" si="1"/>
        <v>0.36249999999999999</v>
      </c>
      <c r="M12" s="19">
        <f t="shared" si="2"/>
        <v>1.45</v>
      </c>
      <c r="N12" s="17"/>
      <c r="O12" s="18">
        <f t="shared" si="7"/>
        <v>0</v>
      </c>
      <c r="P12" s="17"/>
      <c r="Q12" s="18">
        <f t="shared" si="8"/>
        <v>0</v>
      </c>
      <c r="R12" s="17"/>
      <c r="S12" s="18">
        <f t="shared" si="9"/>
        <v>0</v>
      </c>
      <c r="T12" s="17">
        <f t="shared" si="3"/>
        <v>4</v>
      </c>
      <c r="U12" s="18">
        <f t="shared" si="10"/>
        <v>0.36249999999999999</v>
      </c>
      <c r="V12" s="18">
        <f t="shared" si="4"/>
        <v>1.45</v>
      </c>
      <c r="W12" s="1" t="str">
        <f>+$B$12</f>
        <v>Schweppes Soda Water 330ml (24cans)</v>
      </c>
      <c r="Y12" s="2">
        <f>+$R$12</f>
        <v>0</v>
      </c>
      <c r="Z12" s="26">
        <f t="shared" si="5"/>
        <v>0</v>
      </c>
      <c r="AA12" s="38">
        <f>+Y12+'30'!AA12</f>
        <v>8</v>
      </c>
      <c r="AB12" s="30">
        <f>+Z12+'30'!AB12</f>
        <v>8</v>
      </c>
      <c r="AC12" s="27"/>
    </row>
    <row r="13" spans="1:29" x14ac:dyDescent="0.25">
      <c r="A13" s="16">
        <f t="shared" si="6"/>
        <v>6</v>
      </c>
      <c r="B13" s="17" t="str">
        <f>'01'!B13</f>
        <v>Schweppes Tonic Water 330ml (24cans)</v>
      </c>
      <c r="C13" s="17" t="str">
        <f>'01'!C13</f>
        <v>ទឹកតូនិច (កំប៉ុង៣៣០មម)</v>
      </c>
      <c r="D13" s="16">
        <f>'01'!D13</f>
        <v>48</v>
      </c>
      <c r="E13" s="17">
        <f>+'30'!T13</f>
        <v>17</v>
      </c>
      <c r="F13" s="19">
        <f>+'30'!U13</f>
        <v>0.36249999999999999</v>
      </c>
      <c r="G13" s="17">
        <f>+'30'!V13</f>
        <v>6.1624999999999996</v>
      </c>
      <c r="H13" s="17"/>
      <c r="I13" s="18"/>
      <c r="J13" s="18">
        <f t="shared" si="11"/>
        <v>0</v>
      </c>
      <c r="K13" s="16">
        <f t="shared" si="0"/>
        <v>17</v>
      </c>
      <c r="L13" s="19">
        <f t="shared" si="1"/>
        <v>0.36249999999999999</v>
      </c>
      <c r="M13" s="19">
        <f t="shared" si="2"/>
        <v>6.1624999999999996</v>
      </c>
      <c r="N13" s="17"/>
      <c r="O13" s="18">
        <f t="shared" si="7"/>
        <v>0</v>
      </c>
      <c r="P13" s="17"/>
      <c r="Q13" s="18">
        <f t="shared" si="8"/>
        <v>0</v>
      </c>
      <c r="R13" s="17"/>
      <c r="S13" s="18">
        <f t="shared" si="9"/>
        <v>0</v>
      </c>
      <c r="T13" s="17">
        <f t="shared" si="3"/>
        <v>17</v>
      </c>
      <c r="U13" s="18">
        <f t="shared" si="10"/>
        <v>0.36249999999999999</v>
      </c>
      <c r="V13" s="18">
        <f t="shared" si="4"/>
        <v>6.1624999999999996</v>
      </c>
      <c r="W13" s="1" t="str">
        <f>+$B$13</f>
        <v>Schweppes Tonic Water 330ml (24cans)</v>
      </c>
      <c r="Y13" s="2">
        <f>+$R$13</f>
        <v>0</v>
      </c>
      <c r="Z13" s="26">
        <f t="shared" si="5"/>
        <v>0</v>
      </c>
      <c r="AA13" s="38">
        <f>+Y13+'30'!AA13</f>
        <v>2</v>
      </c>
      <c r="AB13" s="30">
        <f>+Z13+'30'!AB13</f>
        <v>2</v>
      </c>
      <c r="AC13" s="27"/>
    </row>
    <row r="14" spans="1:29" x14ac:dyDescent="0.25">
      <c r="A14" s="16">
        <f t="shared" si="6"/>
        <v>7</v>
      </c>
      <c r="B14" s="17" t="str">
        <f>'01'!B14</f>
        <v>Schweppes Ginger Ale 330ml (24cans)</v>
      </c>
      <c r="C14" s="17" t="str">
        <f>'01'!C14</f>
        <v>ទឹក Ginger ale (កំប៉ុង៣៣០មម)</v>
      </c>
      <c r="D14" s="16">
        <f>'01'!D14</f>
        <v>48</v>
      </c>
      <c r="E14" s="17">
        <f>+'30'!T14</f>
        <v>16</v>
      </c>
      <c r="F14" s="19">
        <f>+'30'!U14</f>
        <v>0.36249999999999999</v>
      </c>
      <c r="G14" s="17">
        <f>+'30'!V14</f>
        <v>5.8</v>
      </c>
      <c r="H14" s="17"/>
      <c r="I14" s="18"/>
      <c r="J14" s="18">
        <f t="shared" si="11"/>
        <v>0</v>
      </c>
      <c r="K14" s="16">
        <f t="shared" si="0"/>
        <v>16</v>
      </c>
      <c r="L14" s="19">
        <f t="shared" si="1"/>
        <v>0.36249999999999999</v>
      </c>
      <c r="M14" s="19">
        <f t="shared" si="2"/>
        <v>5.8</v>
      </c>
      <c r="N14" s="17"/>
      <c r="O14" s="18">
        <f t="shared" si="7"/>
        <v>0</v>
      </c>
      <c r="P14" s="17"/>
      <c r="Q14" s="18">
        <f t="shared" si="8"/>
        <v>0</v>
      </c>
      <c r="R14" s="17"/>
      <c r="S14" s="18">
        <f t="shared" si="9"/>
        <v>0</v>
      </c>
      <c r="T14" s="17">
        <f t="shared" si="3"/>
        <v>16</v>
      </c>
      <c r="U14" s="18">
        <f t="shared" si="10"/>
        <v>0.36249999999999999</v>
      </c>
      <c r="V14" s="18">
        <f t="shared" si="4"/>
        <v>5.8</v>
      </c>
      <c r="W14" s="1" t="str">
        <f>+$B$14</f>
        <v>Schweppes Ginger Ale 330ml (24cans)</v>
      </c>
      <c r="Y14" s="2">
        <f>+$R$14</f>
        <v>0</v>
      </c>
      <c r="Z14" s="26">
        <f t="shared" si="5"/>
        <v>0</v>
      </c>
      <c r="AA14" s="38">
        <f>+Y14+'30'!AA14</f>
        <v>4</v>
      </c>
      <c r="AB14" s="30">
        <f>+Z14+'30'!AB14</f>
        <v>4</v>
      </c>
      <c r="AC14" s="27"/>
    </row>
    <row r="15" spans="1:29" s="3" customFormat="1" ht="20.25" customHeight="1" x14ac:dyDescent="0.25">
      <c r="A15" s="5"/>
      <c r="B15" s="39" t="str">
        <f>'01'!B15</f>
        <v>TOTAL SOFT DRINK</v>
      </c>
      <c r="C15" s="43">
        <f>'01'!C15</f>
        <v>0</v>
      </c>
      <c r="D15" s="45">
        <f>'01'!D15</f>
        <v>336</v>
      </c>
      <c r="E15" s="5">
        <f>+SUM(E8:E14)</f>
        <v>110</v>
      </c>
      <c r="F15" s="5"/>
      <c r="G15" s="22">
        <f>+SUM(G8:G14)</f>
        <v>38.499999999999993</v>
      </c>
      <c r="H15" s="5">
        <f>+SUM(H8:H14)</f>
        <v>0</v>
      </c>
      <c r="I15" s="5"/>
      <c r="J15" s="22">
        <f>+SUM(J8:J14)</f>
        <v>0</v>
      </c>
      <c r="K15" s="5">
        <f t="shared" ref="K15" si="12">+SUM(K8:K14)</f>
        <v>110</v>
      </c>
      <c r="L15" s="5"/>
      <c r="M15" s="22">
        <f t="shared" ref="M15:T15" si="13">+SUM(M8:M14)</f>
        <v>38.499999999999993</v>
      </c>
      <c r="N15" s="5">
        <f t="shared" si="13"/>
        <v>0</v>
      </c>
      <c r="O15" s="22">
        <f t="shared" si="13"/>
        <v>0</v>
      </c>
      <c r="P15" s="5">
        <f t="shared" si="13"/>
        <v>0</v>
      </c>
      <c r="Q15" s="22">
        <f t="shared" si="13"/>
        <v>0</v>
      </c>
      <c r="R15" s="5">
        <f t="shared" si="13"/>
        <v>0</v>
      </c>
      <c r="S15" s="22">
        <f t="shared" si="13"/>
        <v>0</v>
      </c>
      <c r="T15" s="5">
        <f t="shared" si="13"/>
        <v>110</v>
      </c>
      <c r="U15" s="5"/>
      <c r="V15" s="22">
        <f t="shared" ref="V15" si="14">+SUM(V8:V14)</f>
        <v>38.499999999999993</v>
      </c>
      <c r="W15" s="1" t="str">
        <f>+$B$17</f>
        <v>Dasani 500ml (24 Btl)</v>
      </c>
      <c r="Y15" s="2">
        <f>+$R$17</f>
        <v>1</v>
      </c>
      <c r="Z15" s="26">
        <f>+Y15*0.5</f>
        <v>0.5</v>
      </c>
      <c r="AA15" s="38">
        <f>+Y15+'30'!AA15</f>
        <v>37</v>
      </c>
      <c r="AB15" s="30">
        <f>+Z15+'30'!AB15</f>
        <v>18.5</v>
      </c>
      <c r="AC15" s="25"/>
    </row>
    <row r="16" spans="1:29" s="3" customFormat="1" ht="14.25" customHeight="1" x14ac:dyDescent="0.25">
      <c r="A16" s="5"/>
      <c r="B16" s="39" t="str">
        <f>'01'!B16</f>
        <v xml:space="preserve">Water </v>
      </c>
      <c r="C16" s="43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" t="str">
        <f>+$B$20</f>
        <v xml:space="preserve">TIGER BEER 330ml CAN </v>
      </c>
      <c r="Y16" s="34">
        <f>+$R$20</f>
        <v>0</v>
      </c>
      <c r="Z16" s="26">
        <f>+Y16*1.25</f>
        <v>0</v>
      </c>
      <c r="AA16" s="38">
        <f>+Y16+'30'!AA16</f>
        <v>11</v>
      </c>
      <c r="AB16" s="30">
        <f>+Z16+'30'!AB16</f>
        <v>13.75</v>
      </c>
      <c r="AC16" s="25"/>
    </row>
    <row r="17" spans="1:29" x14ac:dyDescent="0.25">
      <c r="A17" s="16">
        <f>+A14+1</f>
        <v>8</v>
      </c>
      <c r="B17" s="17" t="str">
        <f>'01'!B17</f>
        <v>Dasani 500ml (24 Btl)</v>
      </c>
      <c r="C17" s="17">
        <f>'01'!C17</f>
        <v>0</v>
      </c>
      <c r="D17" s="16">
        <f>'01'!D17</f>
        <v>48</v>
      </c>
      <c r="E17" s="17">
        <f>+'30'!T17</f>
        <v>118</v>
      </c>
      <c r="F17" s="19">
        <f>+'30'!U17</f>
        <v>0.13104010025062657</v>
      </c>
      <c r="G17" s="19">
        <f>+'30'!V17</f>
        <v>15.462731829573935</v>
      </c>
      <c r="H17" s="17"/>
      <c r="I17" s="18"/>
      <c r="J17" s="18">
        <f t="shared" ref="J17" si="15">+H17*I17</f>
        <v>0</v>
      </c>
      <c r="K17" s="16">
        <f>+E17+H17</f>
        <v>118</v>
      </c>
      <c r="L17" s="19">
        <f t="shared" ref="L17" si="16">IF(K17=0,,M17/K17)</f>
        <v>0.13104010025062657</v>
      </c>
      <c r="M17" s="19">
        <f>+J17+G17</f>
        <v>15.462731829573935</v>
      </c>
      <c r="N17" s="17"/>
      <c r="O17" s="18">
        <f t="shared" ref="O17" si="17">+N17*L17</f>
        <v>0</v>
      </c>
      <c r="P17" s="17"/>
      <c r="Q17" s="18">
        <f t="shared" ref="Q17" si="18">+P17*L17</f>
        <v>0</v>
      </c>
      <c r="R17" s="17">
        <v>1</v>
      </c>
      <c r="S17" s="18">
        <f t="shared" ref="S17" si="19">+R17*L17</f>
        <v>0.13104010025062657</v>
      </c>
      <c r="T17" s="17">
        <f t="shared" ref="T17" si="20">+K17-N17-P17-R17</f>
        <v>117</v>
      </c>
      <c r="U17" s="18">
        <f t="shared" ref="U17" si="21">IF(T17=0,,V17/T17)</f>
        <v>0.13104010025062657</v>
      </c>
      <c r="V17" s="18">
        <f t="shared" ref="V17" si="22">+T17*L17</f>
        <v>15.331691729323309</v>
      </c>
      <c r="W17" s="1" t="str">
        <f>+$B$21</f>
        <v>Heineken 330ml CAN</v>
      </c>
      <c r="Y17" s="34">
        <f>+$R$21</f>
        <v>0</v>
      </c>
      <c r="Z17" s="26">
        <f>+Y17*1.25</f>
        <v>0</v>
      </c>
      <c r="AA17" s="38">
        <f>+Y17+'30'!AA17</f>
        <v>15</v>
      </c>
      <c r="AB17" s="30">
        <f>+Z17+'30'!AB17</f>
        <v>18.75</v>
      </c>
      <c r="AC17" s="27"/>
    </row>
    <row r="18" spans="1:29" s="3" customFormat="1" ht="24.75" customHeight="1" x14ac:dyDescent="0.25">
      <c r="A18" s="5"/>
      <c r="B18" s="39" t="str">
        <f>'01'!B18</f>
        <v xml:space="preserve">TOTAL Water </v>
      </c>
      <c r="C18" s="43">
        <f>'01'!C18</f>
        <v>0</v>
      </c>
      <c r="D18" s="45">
        <f>'01'!D18</f>
        <v>48</v>
      </c>
      <c r="E18" s="5">
        <f>+E17</f>
        <v>118</v>
      </c>
      <c r="F18" s="5"/>
      <c r="G18" s="22">
        <f>+G17</f>
        <v>15.462731829573935</v>
      </c>
      <c r="H18" s="5">
        <f t="shared" ref="H18" si="23">+H17</f>
        <v>0</v>
      </c>
      <c r="I18" s="5"/>
      <c r="J18" s="22">
        <f t="shared" ref="J18:K18" si="24">+J17</f>
        <v>0</v>
      </c>
      <c r="K18" s="5">
        <f t="shared" si="24"/>
        <v>118</v>
      </c>
      <c r="L18" s="5"/>
      <c r="M18" s="22">
        <f t="shared" ref="M18:T18" si="25">+M17</f>
        <v>15.462731829573935</v>
      </c>
      <c r="N18" s="5">
        <f t="shared" si="25"/>
        <v>0</v>
      </c>
      <c r="O18" s="22">
        <f t="shared" si="25"/>
        <v>0</v>
      </c>
      <c r="P18" s="5">
        <f t="shared" si="25"/>
        <v>0</v>
      </c>
      <c r="Q18" s="22">
        <f t="shared" si="25"/>
        <v>0</v>
      </c>
      <c r="R18" s="5">
        <f t="shared" si="25"/>
        <v>1</v>
      </c>
      <c r="S18" s="22">
        <f t="shared" si="25"/>
        <v>0.13104010025062657</v>
      </c>
      <c r="T18" s="5">
        <f t="shared" si="25"/>
        <v>117</v>
      </c>
      <c r="U18" s="5"/>
      <c r="V18" s="22">
        <f t="shared" ref="V18" si="26">+V17</f>
        <v>15.331691729323309</v>
      </c>
      <c r="Y18" s="34">
        <f>+$R$22</f>
        <v>0</v>
      </c>
      <c r="Z18" s="26">
        <f t="shared" si="5"/>
        <v>0</v>
      </c>
      <c r="AA18" s="38">
        <f>+Y18+'30'!AA18</f>
        <v>0</v>
      </c>
      <c r="AB18" s="30">
        <f>+Z18+'30'!AB18</f>
        <v>0</v>
      </c>
      <c r="AC18" s="25"/>
    </row>
    <row r="19" spans="1:29" s="3" customFormat="1" ht="14.25" customHeight="1" x14ac:dyDescent="0.25">
      <c r="A19" s="5"/>
      <c r="B19" s="39" t="str">
        <f>'01'!B19</f>
        <v>Beer</v>
      </c>
      <c r="C19" s="43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Y19" s="34">
        <f>+$R$23</f>
        <v>0</v>
      </c>
      <c r="Z19" s="26">
        <f t="shared" si="5"/>
        <v>0</v>
      </c>
      <c r="AA19" s="38">
        <f>+Y19+'30'!AA19</f>
        <v>0</v>
      </c>
      <c r="AB19" s="30">
        <f>+Z19+'30'!AB19</f>
        <v>0</v>
      </c>
      <c r="AC19" s="25"/>
    </row>
    <row r="20" spans="1:29" x14ac:dyDescent="0.25">
      <c r="A20" s="16">
        <f t="shared" ref="A20:A28" si="27">+A19+1</f>
        <v>1</v>
      </c>
      <c r="B20" s="17" t="str">
        <f>'01'!B20</f>
        <v xml:space="preserve">TIGER BEER 330ml CAN </v>
      </c>
      <c r="C20" s="46" t="str">
        <f>'01'!C20</f>
        <v>ស្រាបៀរថៃហ្គ័រ (កំប៉ុង ៣៣០មល)</v>
      </c>
      <c r="D20" s="16">
        <f>'01'!D20</f>
        <v>48</v>
      </c>
      <c r="E20" s="17">
        <f>+'30'!T20</f>
        <v>21</v>
      </c>
      <c r="F20" s="19">
        <f>+'30'!U20</f>
        <v>0.48</v>
      </c>
      <c r="G20" s="17">
        <f>+'30'!V20</f>
        <v>10.08</v>
      </c>
      <c r="H20" s="17"/>
      <c r="I20" s="18"/>
      <c r="J20" s="18">
        <f t="shared" ref="J20:J37" si="28">+H20*I20</f>
        <v>0</v>
      </c>
      <c r="K20" s="16">
        <f t="shared" ref="K20:K37" si="29">+E20+H20</f>
        <v>21</v>
      </c>
      <c r="L20" s="19">
        <f t="shared" ref="L20:L37" si="30">IF(K20=0,,M20/K20)</f>
        <v>0.48</v>
      </c>
      <c r="M20" s="19">
        <f t="shared" ref="M20:M37" si="31">+J20+G20</f>
        <v>10.08</v>
      </c>
      <c r="N20" s="17"/>
      <c r="O20" s="18">
        <f t="shared" ref="O20:O37" si="32">+N20*L20</f>
        <v>0</v>
      </c>
      <c r="P20" s="17"/>
      <c r="Q20" s="18">
        <f>+P20*L20</f>
        <v>0</v>
      </c>
      <c r="R20" s="17"/>
      <c r="S20" s="18">
        <f t="shared" ref="S20:S37" si="33">+R20*L20</f>
        <v>0</v>
      </c>
      <c r="T20" s="17">
        <f t="shared" ref="T20:T37" si="34">+K20-N20-P20-R20</f>
        <v>21</v>
      </c>
      <c r="U20" s="18">
        <f t="shared" ref="U20:U37" si="35">IF(T20=0,,V20/T20)</f>
        <v>0.48</v>
      </c>
      <c r="V20" s="18">
        <f t="shared" ref="V20:V37" si="36">+T20*L20</f>
        <v>10.08</v>
      </c>
      <c r="W20" s="70" t="s">
        <v>43</v>
      </c>
      <c r="X20" s="70"/>
      <c r="Y20" s="28">
        <f>+SUM(Y8:Y19)</f>
        <v>1</v>
      </c>
      <c r="Z20" s="31">
        <f>+SUM(Z8:Z19)</f>
        <v>0.5</v>
      </c>
      <c r="AA20" s="28">
        <f>+SUM(AA8:AA19)</f>
        <v>106</v>
      </c>
      <c r="AB20" s="31">
        <f>+SUM(AB8:AB19)</f>
        <v>94</v>
      </c>
    </row>
    <row r="21" spans="1:29" x14ac:dyDescent="0.25">
      <c r="A21" s="16">
        <f t="shared" si="27"/>
        <v>2</v>
      </c>
      <c r="B21" s="17" t="str">
        <f>'01'!B21</f>
        <v>Heineken 330ml CAN</v>
      </c>
      <c r="C21" s="46" t="str">
        <f>'01'!C21</f>
        <v>ស្រាបៀរហេន័រឃិន (កំប៉ុង ៣៣០មល)</v>
      </c>
      <c r="D21" s="16">
        <f>'01'!D21</f>
        <v>48</v>
      </c>
      <c r="E21" s="17">
        <f>+'30'!T21</f>
        <v>14</v>
      </c>
      <c r="F21" s="19">
        <f>+'30'!U21</f>
        <v>0.65000000000000013</v>
      </c>
      <c r="G21" s="17">
        <f>+'30'!V21</f>
        <v>9.1000000000000014</v>
      </c>
      <c r="H21" s="17"/>
      <c r="I21" s="18"/>
      <c r="J21" s="18">
        <f t="shared" si="28"/>
        <v>0</v>
      </c>
      <c r="K21" s="16">
        <f t="shared" si="29"/>
        <v>14</v>
      </c>
      <c r="L21" s="19">
        <f t="shared" si="30"/>
        <v>0.65000000000000013</v>
      </c>
      <c r="M21" s="19">
        <f t="shared" si="31"/>
        <v>9.1000000000000014</v>
      </c>
      <c r="N21" s="17"/>
      <c r="O21" s="18">
        <f t="shared" si="32"/>
        <v>0</v>
      </c>
      <c r="P21" s="17"/>
      <c r="Q21" s="18">
        <f t="shared" ref="Q21:Q37" si="37">+P21*L21</f>
        <v>0</v>
      </c>
      <c r="R21" s="17"/>
      <c r="S21" s="18">
        <f t="shared" si="33"/>
        <v>0</v>
      </c>
      <c r="T21" s="17">
        <f t="shared" si="34"/>
        <v>14</v>
      </c>
      <c r="U21" s="18">
        <f t="shared" si="35"/>
        <v>0.65000000000000013</v>
      </c>
      <c r="V21" s="18">
        <f t="shared" si="36"/>
        <v>9.1000000000000014</v>
      </c>
    </row>
    <row r="22" spans="1:29" x14ac:dyDescent="0.25">
      <c r="A22" s="16">
        <f t="shared" si="27"/>
        <v>3</v>
      </c>
      <c r="B22" s="17">
        <f>'01'!B22</f>
        <v>0</v>
      </c>
      <c r="C22" s="46">
        <f>'01'!C22</f>
        <v>0</v>
      </c>
      <c r="D22" s="16">
        <f>'01'!D22</f>
        <v>0</v>
      </c>
      <c r="E22" s="17">
        <f>+'30'!T22</f>
        <v>0</v>
      </c>
      <c r="F22" s="19">
        <f>+'30'!U22</f>
        <v>0</v>
      </c>
      <c r="G22" s="17">
        <f>+'30'!V22</f>
        <v>0</v>
      </c>
      <c r="H22" s="17"/>
      <c r="I22" s="18"/>
      <c r="J22" s="18">
        <f t="shared" si="28"/>
        <v>0</v>
      </c>
      <c r="K22" s="16">
        <f t="shared" si="29"/>
        <v>0</v>
      </c>
      <c r="L22" s="19">
        <f t="shared" si="30"/>
        <v>0</v>
      </c>
      <c r="M22" s="19">
        <f t="shared" si="31"/>
        <v>0</v>
      </c>
      <c r="N22" s="17"/>
      <c r="O22" s="18">
        <f t="shared" si="32"/>
        <v>0</v>
      </c>
      <c r="P22" s="17"/>
      <c r="Q22" s="18">
        <f t="shared" si="37"/>
        <v>0</v>
      </c>
      <c r="R22" s="17"/>
      <c r="S22" s="18">
        <f t="shared" si="33"/>
        <v>0</v>
      </c>
      <c r="T22" s="17">
        <f t="shared" si="34"/>
        <v>0</v>
      </c>
      <c r="U22" s="18">
        <f t="shared" si="35"/>
        <v>0</v>
      </c>
      <c r="V22" s="18">
        <f t="shared" si="36"/>
        <v>0</v>
      </c>
    </row>
    <row r="23" spans="1:29" x14ac:dyDescent="0.25">
      <c r="A23" s="16">
        <f t="shared" si="27"/>
        <v>4</v>
      </c>
      <c r="B23" s="17">
        <f>'01'!B23</f>
        <v>0</v>
      </c>
      <c r="C23" s="46">
        <f>'01'!C23</f>
        <v>0</v>
      </c>
      <c r="D23" s="16">
        <f>'01'!D23</f>
        <v>0</v>
      </c>
      <c r="E23" s="17">
        <f>+'30'!T23</f>
        <v>0</v>
      </c>
      <c r="F23" s="19">
        <f>+'30'!U23</f>
        <v>0</v>
      </c>
      <c r="G23" s="17">
        <f>+'30'!V23</f>
        <v>0</v>
      </c>
      <c r="H23" s="17"/>
      <c r="I23" s="18"/>
      <c r="J23" s="18">
        <f t="shared" si="28"/>
        <v>0</v>
      </c>
      <c r="K23" s="16">
        <f t="shared" si="29"/>
        <v>0</v>
      </c>
      <c r="L23" s="19">
        <f t="shared" si="30"/>
        <v>0</v>
      </c>
      <c r="M23" s="19">
        <f t="shared" si="31"/>
        <v>0</v>
      </c>
      <c r="N23" s="17"/>
      <c r="O23" s="18">
        <f t="shared" si="32"/>
        <v>0</v>
      </c>
      <c r="P23" s="17"/>
      <c r="Q23" s="18">
        <f t="shared" si="37"/>
        <v>0</v>
      </c>
      <c r="R23" s="17"/>
      <c r="S23" s="18">
        <f t="shared" si="33"/>
        <v>0</v>
      </c>
      <c r="T23" s="17">
        <f t="shared" si="34"/>
        <v>0</v>
      </c>
      <c r="U23" s="18">
        <f t="shared" si="35"/>
        <v>0</v>
      </c>
      <c r="V23" s="18">
        <f t="shared" si="36"/>
        <v>0</v>
      </c>
    </row>
    <row r="24" spans="1:29" x14ac:dyDescent="0.25">
      <c r="A24" s="16">
        <f t="shared" si="27"/>
        <v>5</v>
      </c>
      <c r="B24" s="17">
        <f>'01'!B24</f>
        <v>0</v>
      </c>
      <c r="C24" s="46">
        <f>'01'!C24</f>
        <v>0</v>
      </c>
      <c r="D24" s="16">
        <f>'01'!D24</f>
        <v>0</v>
      </c>
      <c r="E24" s="17">
        <f>+'30'!T24</f>
        <v>0</v>
      </c>
      <c r="F24" s="19">
        <f>+'30'!U24</f>
        <v>0</v>
      </c>
      <c r="G24" s="17">
        <f>+'30'!V24</f>
        <v>0</v>
      </c>
      <c r="H24" s="17"/>
      <c r="I24" s="18"/>
      <c r="J24" s="18">
        <f t="shared" si="28"/>
        <v>0</v>
      </c>
      <c r="K24" s="16">
        <f t="shared" si="29"/>
        <v>0</v>
      </c>
      <c r="L24" s="19">
        <f t="shared" si="30"/>
        <v>0</v>
      </c>
      <c r="M24" s="19">
        <f t="shared" si="31"/>
        <v>0</v>
      </c>
      <c r="N24" s="17"/>
      <c r="O24" s="18">
        <f t="shared" si="32"/>
        <v>0</v>
      </c>
      <c r="P24" s="17"/>
      <c r="Q24" s="18">
        <f t="shared" si="37"/>
        <v>0</v>
      </c>
      <c r="R24" s="17"/>
      <c r="S24" s="18">
        <f t="shared" si="33"/>
        <v>0</v>
      </c>
      <c r="T24" s="17">
        <f t="shared" si="34"/>
        <v>0</v>
      </c>
      <c r="U24" s="18">
        <f t="shared" si="35"/>
        <v>0</v>
      </c>
      <c r="V24" s="18">
        <f t="shared" si="36"/>
        <v>0</v>
      </c>
    </row>
    <row r="25" spans="1:29" hidden="1" x14ac:dyDescent="0.25">
      <c r="A25" s="16">
        <f t="shared" si="27"/>
        <v>6</v>
      </c>
      <c r="B25" s="17"/>
      <c r="C25" s="17"/>
      <c r="D25" s="16">
        <f>'01'!D25</f>
        <v>0</v>
      </c>
      <c r="E25" s="17">
        <f>+'30'!T25</f>
        <v>0</v>
      </c>
      <c r="F25" s="19">
        <f>+'30'!U25</f>
        <v>0</v>
      </c>
      <c r="G25" s="17">
        <f>+'30'!V25</f>
        <v>0</v>
      </c>
      <c r="H25" s="17"/>
      <c r="I25" s="18"/>
      <c r="J25" s="18">
        <f t="shared" si="28"/>
        <v>0</v>
      </c>
      <c r="K25" s="16">
        <f t="shared" si="29"/>
        <v>0</v>
      </c>
      <c r="L25" s="19">
        <f t="shared" si="30"/>
        <v>0</v>
      </c>
      <c r="M25" s="19">
        <f t="shared" si="31"/>
        <v>0</v>
      </c>
      <c r="N25" s="17"/>
      <c r="O25" s="18">
        <f t="shared" si="32"/>
        <v>0</v>
      </c>
      <c r="P25" s="17"/>
      <c r="Q25" s="18">
        <f t="shared" si="37"/>
        <v>0</v>
      </c>
      <c r="R25" s="17"/>
      <c r="S25" s="18">
        <f t="shared" si="33"/>
        <v>0</v>
      </c>
      <c r="T25" s="17">
        <f t="shared" si="34"/>
        <v>0</v>
      </c>
      <c r="U25" s="18">
        <f t="shared" si="35"/>
        <v>0</v>
      </c>
      <c r="V25" s="18">
        <f t="shared" si="36"/>
        <v>0</v>
      </c>
    </row>
    <row r="26" spans="1:29" hidden="1" x14ac:dyDescent="0.25">
      <c r="A26" s="16">
        <f t="shared" si="27"/>
        <v>7</v>
      </c>
      <c r="B26" s="17"/>
      <c r="C26" s="17"/>
      <c r="D26" s="16">
        <f>'01'!D26</f>
        <v>0</v>
      </c>
      <c r="E26" s="17">
        <f>+'30'!T26</f>
        <v>0</v>
      </c>
      <c r="F26" s="19">
        <f>+'30'!U26</f>
        <v>0</v>
      </c>
      <c r="G26" s="17">
        <f>+'30'!V26</f>
        <v>0</v>
      </c>
      <c r="H26" s="17"/>
      <c r="I26" s="18"/>
      <c r="J26" s="18">
        <f t="shared" si="28"/>
        <v>0</v>
      </c>
      <c r="K26" s="16">
        <f t="shared" si="29"/>
        <v>0</v>
      </c>
      <c r="L26" s="19">
        <f t="shared" si="30"/>
        <v>0</v>
      </c>
      <c r="M26" s="19">
        <f t="shared" si="31"/>
        <v>0</v>
      </c>
      <c r="N26" s="17"/>
      <c r="O26" s="18">
        <f t="shared" si="32"/>
        <v>0</v>
      </c>
      <c r="P26" s="17"/>
      <c r="Q26" s="18">
        <f t="shared" si="37"/>
        <v>0</v>
      </c>
      <c r="R26" s="17"/>
      <c r="S26" s="18">
        <f t="shared" si="33"/>
        <v>0</v>
      </c>
      <c r="T26" s="17">
        <f t="shared" si="34"/>
        <v>0</v>
      </c>
      <c r="U26" s="18">
        <f t="shared" si="35"/>
        <v>0</v>
      </c>
      <c r="V26" s="18">
        <f t="shared" si="36"/>
        <v>0</v>
      </c>
    </row>
    <row r="27" spans="1:29" hidden="1" x14ac:dyDescent="0.25">
      <c r="A27" s="16">
        <f t="shared" si="27"/>
        <v>8</v>
      </c>
      <c r="B27" s="17"/>
      <c r="C27" s="17"/>
      <c r="D27" s="16">
        <f>'01'!D27</f>
        <v>0</v>
      </c>
      <c r="E27" s="17">
        <f>+'30'!T27</f>
        <v>0</v>
      </c>
      <c r="F27" s="19">
        <f>+'30'!U27</f>
        <v>0</v>
      </c>
      <c r="G27" s="17">
        <f>+'30'!V27</f>
        <v>0</v>
      </c>
      <c r="H27" s="17"/>
      <c r="I27" s="18"/>
      <c r="J27" s="18">
        <f t="shared" si="28"/>
        <v>0</v>
      </c>
      <c r="K27" s="16">
        <f t="shared" si="29"/>
        <v>0</v>
      </c>
      <c r="L27" s="19">
        <f t="shared" si="30"/>
        <v>0</v>
      </c>
      <c r="M27" s="19">
        <f t="shared" si="31"/>
        <v>0</v>
      </c>
      <c r="N27" s="17"/>
      <c r="O27" s="18">
        <f t="shared" si="32"/>
        <v>0</v>
      </c>
      <c r="P27" s="17"/>
      <c r="Q27" s="18">
        <f t="shared" si="37"/>
        <v>0</v>
      </c>
      <c r="R27" s="17"/>
      <c r="S27" s="18">
        <f t="shared" si="33"/>
        <v>0</v>
      </c>
      <c r="T27" s="17">
        <f t="shared" si="34"/>
        <v>0</v>
      </c>
      <c r="U27" s="18">
        <f t="shared" si="35"/>
        <v>0</v>
      </c>
      <c r="V27" s="18">
        <f t="shared" si="36"/>
        <v>0</v>
      </c>
    </row>
    <row r="28" spans="1:29" hidden="1" x14ac:dyDescent="0.25">
      <c r="A28" s="16">
        <f t="shared" si="27"/>
        <v>9</v>
      </c>
      <c r="B28" s="17"/>
      <c r="C28" s="17"/>
      <c r="D28" s="16">
        <f>'01'!D28</f>
        <v>0</v>
      </c>
      <c r="E28" s="17">
        <f>+'30'!T28</f>
        <v>0</v>
      </c>
      <c r="F28" s="19">
        <f>+'30'!U28</f>
        <v>0</v>
      </c>
      <c r="G28" s="17">
        <f>+'30'!V28</f>
        <v>0</v>
      </c>
      <c r="H28" s="17"/>
      <c r="I28" s="18"/>
      <c r="J28" s="18">
        <f t="shared" si="28"/>
        <v>0</v>
      </c>
      <c r="K28" s="16">
        <f t="shared" si="29"/>
        <v>0</v>
      </c>
      <c r="L28" s="19">
        <f t="shared" si="30"/>
        <v>0</v>
      </c>
      <c r="M28" s="19">
        <f t="shared" si="31"/>
        <v>0</v>
      </c>
      <c r="N28" s="17"/>
      <c r="O28" s="18">
        <f t="shared" si="32"/>
        <v>0</v>
      </c>
      <c r="P28" s="17"/>
      <c r="Q28" s="18">
        <f t="shared" si="37"/>
        <v>0</v>
      </c>
      <c r="R28" s="17"/>
      <c r="S28" s="18">
        <f t="shared" si="33"/>
        <v>0</v>
      </c>
      <c r="T28" s="17">
        <f t="shared" si="34"/>
        <v>0</v>
      </c>
      <c r="U28" s="18">
        <f t="shared" si="35"/>
        <v>0</v>
      </c>
      <c r="V28" s="18">
        <f t="shared" si="36"/>
        <v>0</v>
      </c>
    </row>
    <row r="29" spans="1:29" hidden="1" x14ac:dyDescent="0.25">
      <c r="A29" s="16">
        <f t="shared" ref="A29:A37" si="38">+A28+1</f>
        <v>10</v>
      </c>
      <c r="B29" s="17"/>
      <c r="C29" s="17"/>
      <c r="D29" s="16">
        <f>'01'!D29</f>
        <v>0</v>
      </c>
      <c r="E29" s="17">
        <f>+'30'!T29</f>
        <v>0</v>
      </c>
      <c r="F29" s="19">
        <f>+'30'!U29</f>
        <v>0</v>
      </c>
      <c r="G29" s="17">
        <f>+'30'!V29</f>
        <v>0</v>
      </c>
      <c r="H29" s="17"/>
      <c r="I29" s="18"/>
      <c r="J29" s="18">
        <f t="shared" si="28"/>
        <v>0</v>
      </c>
      <c r="K29" s="16">
        <f t="shared" si="29"/>
        <v>0</v>
      </c>
      <c r="L29" s="19">
        <f t="shared" si="30"/>
        <v>0</v>
      </c>
      <c r="M29" s="19">
        <f t="shared" si="31"/>
        <v>0</v>
      </c>
      <c r="N29" s="17"/>
      <c r="O29" s="18">
        <f t="shared" si="32"/>
        <v>0</v>
      </c>
      <c r="P29" s="17"/>
      <c r="Q29" s="18">
        <f t="shared" si="37"/>
        <v>0</v>
      </c>
      <c r="R29" s="17"/>
      <c r="S29" s="18">
        <f t="shared" si="33"/>
        <v>0</v>
      </c>
      <c r="T29" s="17">
        <f t="shared" si="34"/>
        <v>0</v>
      </c>
      <c r="U29" s="18">
        <f t="shared" si="35"/>
        <v>0</v>
      </c>
      <c r="V29" s="18">
        <f t="shared" si="36"/>
        <v>0</v>
      </c>
    </row>
    <row r="30" spans="1:29" hidden="1" x14ac:dyDescent="0.25">
      <c r="A30" s="16">
        <f t="shared" si="38"/>
        <v>11</v>
      </c>
      <c r="B30" s="17"/>
      <c r="C30" s="17"/>
      <c r="D30" s="16">
        <f>'01'!D30</f>
        <v>0</v>
      </c>
      <c r="E30" s="17">
        <f>+'30'!T30</f>
        <v>0</v>
      </c>
      <c r="F30" s="19">
        <f>+'30'!U30</f>
        <v>0</v>
      </c>
      <c r="G30" s="17">
        <f>+'30'!V30</f>
        <v>0</v>
      </c>
      <c r="H30" s="17"/>
      <c r="I30" s="18"/>
      <c r="J30" s="18">
        <f t="shared" si="28"/>
        <v>0</v>
      </c>
      <c r="K30" s="16">
        <f t="shared" si="29"/>
        <v>0</v>
      </c>
      <c r="L30" s="19">
        <f t="shared" si="30"/>
        <v>0</v>
      </c>
      <c r="M30" s="19">
        <f t="shared" si="31"/>
        <v>0</v>
      </c>
      <c r="N30" s="17"/>
      <c r="O30" s="18">
        <f t="shared" si="32"/>
        <v>0</v>
      </c>
      <c r="P30" s="17"/>
      <c r="Q30" s="18">
        <f t="shared" si="37"/>
        <v>0</v>
      </c>
      <c r="R30" s="17"/>
      <c r="S30" s="18">
        <f t="shared" si="33"/>
        <v>0</v>
      </c>
      <c r="T30" s="17">
        <f t="shared" si="34"/>
        <v>0</v>
      </c>
      <c r="U30" s="18">
        <f t="shared" si="35"/>
        <v>0</v>
      </c>
      <c r="V30" s="18">
        <f t="shared" si="36"/>
        <v>0</v>
      </c>
    </row>
    <row r="31" spans="1:29" hidden="1" x14ac:dyDescent="0.25">
      <c r="A31" s="16">
        <f t="shared" si="38"/>
        <v>12</v>
      </c>
      <c r="B31" s="17"/>
      <c r="C31" s="17"/>
      <c r="D31" s="16">
        <f>'01'!D31</f>
        <v>0</v>
      </c>
      <c r="E31" s="17">
        <f>+'30'!T31</f>
        <v>0</v>
      </c>
      <c r="F31" s="19">
        <f>+'30'!U31</f>
        <v>0</v>
      </c>
      <c r="G31" s="17">
        <f>+'30'!V31</f>
        <v>0</v>
      </c>
      <c r="H31" s="17"/>
      <c r="I31" s="18"/>
      <c r="J31" s="18">
        <f t="shared" si="28"/>
        <v>0</v>
      </c>
      <c r="K31" s="16">
        <f t="shared" si="29"/>
        <v>0</v>
      </c>
      <c r="L31" s="19">
        <f t="shared" si="30"/>
        <v>0</v>
      </c>
      <c r="M31" s="19">
        <f t="shared" si="31"/>
        <v>0</v>
      </c>
      <c r="N31" s="17"/>
      <c r="O31" s="18">
        <f t="shared" si="32"/>
        <v>0</v>
      </c>
      <c r="P31" s="17"/>
      <c r="Q31" s="18">
        <f t="shared" si="37"/>
        <v>0</v>
      </c>
      <c r="R31" s="17"/>
      <c r="S31" s="18">
        <f t="shared" si="33"/>
        <v>0</v>
      </c>
      <c r="T31" s="17">
        <f t="shared" si="34"/>
        <v>0</v>
      </c>
      <c r="U31" s="18">
        <f t="shared" si="35"/>
        <v>0</v>
      </c>
      <c r="V31" s="18">
        <f t="shared" si="36"/>
        <v>0</v>
      </c>
    </row>
    <row r="32" spans="1:29" hidden="1" x14ac:dyDescent="0.25">
      <c r="A32" s="16">
        <f t="shared" si="38"/>
        <v>13</v>
      </c>
      <c r="B32" s="17"/>
      <c r="C32" s="17"/>
      <c r="D32" s="16">
        <f>'01'!D32</f>
        <v>0</v>
      </c>
      <c r="E32" s="17">
        <f>+'30'!T32</f>
        <v>0</v>
      </c>
      <c r="F32" s="19">
        <f>+'30'!U32</f>
        <v>0</v>
      </c>
      <c r="G32" s="17">
        <f>+'30'!V32</f>
        <v>0</v>
      </c>
      <c r="H32" s="17"/>
      <c r="I32" s="18"/>
      <c r="J32" s="18">
        <f t="shared" si="28"/>
        <v>0</v>
      </c>
      <c r="K32" s="16">
        <f t="shared" si="29"/>
        <v>0</v>
      </c>
      <c r="L32" s="19">
        <f t="shared" si="30"/>
        <v>0</v>
      </c>
      <c r="M32" s="19">
        <f t="shared" si="31"/>
        <v>0</v>
      </c>
      <c r="N32" s="17"/>
      <c r="O32" s="18">
        <f t="shared" si="32"/>
        <v>0</v>
      </c>
      <c r="P32" s="17"/>
      <c r="Q32" s="18">
        <f t="shared" si="37"/>
        <v>0</v>
      </c>
      <c r="R32" s="17"/>
      <c r="S32" s="18">
        <f t="shared" si="33"/>
        <v>0</v>
      </c>
      <c r="T32" s="17">
        <f t="shared" si="34"/>
        <v>0</v>
      </c>
      <c r="U32" s="18">
        <f t="shared" si="35"/>
        <v>0</v>
      </c>
      <c r="V32" s="18">
        <f t="shared" si="36"/>
        <v>0</v>
      </c>
    </row>
    <row r="33" spans="1:22" hidden="1" x14ac:dyDescent="0.25">
      <c r="A33" s="16">
        <f t="shared" si="38"/>
        <v>14</v>
      </c>
      <c r="B33" s="17"/>
      <c r="C33" s="17"/>
      <c r="D33" s="16">
        <f>'01'!D33</f>
        <v>0</v>
      </c>
      <c r="E33" s="17">
        <f>+'30'!T33</f>
        <v>0</v>
      </c>
      <c r="F33" s="19">
        <f>+'30'!U33</f>
        <v>0</v>
      </c>
      <c r="G33" s="17">
        <f>+'30'!V33</f>
        <v>0</v>
      </c>
      <c r="H33" s="17"/>
      <c r="I33" s="18"/>
      <c r="J33" s="18">
        <f t="shared" si="28"/>
        <v>0</v>
      </c>
      <c r="K33" s="16">
        <f t="shared" si="29"/>
        <v>0</v>
      </c>
      <c r="L33" s="19">
        <f t="shared" si="30"/>
        <v>0</v>
      </c>
      <c r="M33" s="19">
        <f t="shared" si="31"/>
        <v>0</v>
      </c>
      <c r="N33" s="17"/>
      <c r="O33" s="18">
        <f t="shared" si="32"/>
        <v>0</v>
      </c>
      <c r="P33" s="17"/>
      <c r="Q33" s="18">
        <f t="shared" si="37"/>
        <v>0</v>
      </c>
      <c r="R33" s="17"/>
      <c r="S33" s="18">
        <f t="shared" si="33"/>
        <v>0</v>
      </c>
      <c r="T33" s="17">
        <f t="shared" si="34"/>
        <v>0</v>
      </c>
      <c r="U33" s="18">
        <f t="shared" si="35"/>
        <v>0</v>
      </c>
      <c r="V33" s="18">
        <f t="shared" si="36"/>
        <v>0</v>
      </c>
    </row>
    <row r="34" spans="1:22" hidden="1" x14ac:dyDescent="0.25">
      <c r="A34" s="16">
        <f t="shared" si="38"/>
        <v>15</v>
      </c>
      <c r="B34" s="17"/>
      <c r="C34" s="17"/>
      <c r="D34" s="16">
        <f>'01'!D34</f>
        <v>0</v>
      </c>
      <c r="E34" s="17">
        <f>+'30'!T34</f>
        <v>0</v>
      </c>
      <c r="F34" s="19">
        <f>+'30'!U34</f>
        <v>0</v>
      </c>
      <c r="G34" s="17">
        <f>+'30'!V34</f>
        <v>0</v>
      </c>
      <c r="H34" s="17"/>
      <c r="I34" s="18"/>
      <c r="J34" s="18">
        <f t="shared" si="28"/>
        <v>0</v>
      </c>
      <c r="K34" s="16">
        <f t="shared" si="29"/>
        <v>0</v>
      </c>
      <c r="L34" s="19">
        <f t="shared" si="30"/>
        <v>0</v>
      </c>
      <c r="M34" s="19">
        <f t="shared" si="31"/>
        <v>0</v>
      </c>
      <c r="N34" s="17"/>
      <c r="O34" s="18">
        <f t="shared" si="32"/>
        <v>0</v>
      </c>
      <c r="P34" s="17"/>
      <c r="Q34" s="18">
        <f t="shared" si="37"/>
        <v>0</v>
      </c>
      <c r="R34" s="17"/>
      <c r="S34" s="18">
        <f t="shared" si="33"/>
        <v>0</v>
      </c>
      <c r="T34" s="17">
        <f t="shared" si="34"/>
        <v>0</v>
      </c>
      <c r="U34" s="18">
        <f t="shared" si="35"/>
        <v>0</v>
      </c>
      <c r="V34" s="18">
        <f t="shared" si="36"/>
        <v>0</v>
      </c>
    </row>
    <row r="35" spans="1:22" hidden="1" x14ac:dyDescent="0.25">
      <c r="A35" s="16">
        <f t="shared" si="38"/>
        <v>16</v>
      </c>
      <c r="B35" s="17"/>
      <c r="C35" s="17"/>
      <c r="D35" s="16">
        <f>'01'!D35</f>
        <v>0</v>
      </c>
      <c r="E35" s="17">
        <f>+'30'!T35</f>
        <v>0</v>
      </c>
      <c r="F35" s="19">
        <f>+'30'!U35</f>
        <v>0</v>
      </c>
      <c r="G35" s="17">
        <f>+'30'!V35</f>
        <v>0</v>
      </c>
      <c r="H35" s="17"/>
      <c r="I35" s="18"/>
      <c r="J35" s="18">
        <f t="shared" si="28"/>
        <v>0</v>
      </c>
      <c r="K35" s="16">
        <f t="shared" si="29"/>
        <v>0</v>
      </c>
      <c r="L35" s="19">
        <f t="shared" si="30"/>
        <v>0</v>
      </c>
      <c r="M35" s="19">
        <f t="shared" si="31"/>
        <v>0</v>
      </c>
      <c r="N35" s="17"/>
      <c r="O35" s="18">
        <f t="shared" si="32"/>
        <v>0</v>
      </c>
      <c r="P35" s="17"/>
      <c r="Q35" s="18">
        <f t="shared" si="37"/>
        <v>0</v>
      </c>
      <c r="R35" s="17"/>
      <c r="S35" s="18">
        <f t="shared" si="33"/>
        <v>0</v>
      </c>
      <c r="T35" s="17">
        <f t="shared" si="34"/>
        <v>0</v>
      </c>
      <c r="U35" s="18">
        <f t="shared" si="35"/>
        <v>0</v>
      </c>
      <c r="V35" s="18">
        <f t="shared" si="36"/>
        <v>0</v>
      </c>
    </row>
    <row r="36" spans="1:22" hidden="1" x14ac:dyDescent="0.25">
      <c r="A36" s="16">
        <f t="shared" si="38"/>
        <v>17</v>
      </c>
      <c r="B36" s="17"/>
      <c r="C36" s="17"/>
      <c r="D36" s="16">
        <f>'01'!D36</f>
        <v>0</v>
      </c>
      <c r="E36" s="17">
        <f>+'30'!T36</f>
        <v>0</v>
      </c>
      <c r="F36" s="19">
        <f>+'30'!U36</f>
        <v>0</v>
      </c>
      <c r="G36" s="17">
        <f>+'30'!V36</f>
        <v>0</v>
      </c>
      <c r="H36" s="17"/>
      <c r="I36" s="18"/>
      <c r="J36" s="18">
        <f t="shared" si="28"/>
        <v>0</v>
      </c>
      <c r="K36" s="16">
        <f t="shared" si="29"/>
        <v>0</v>
      </c>
      <c r="L36" s="19">
        <f t="shared" si="30"/>
        <v>0</v>
      </c>
      <c r="M36" s="19">
        <f t="shared" si="31"/>
        <v>0</v>
      </c>
      <c r="N36" s="17"/>
      <c r="O36" s="18">
        <f t="shared" si="32"/>
        <v>0</v>
      </c>
      <c r="P36" s="17"/>
      <c r="Q36" s="18">
        <f t="shared" si="37"/>
        <v>0</v>
      </c>
      <c r="R36" s="17"/>
      <c r="S36" s="18">
        <f t="shared" si="33"/>
        <v>0</v>
      </c>
      <c r="T36" s="17">
        <f t="shared" si="34"/>
        <v>0</v>
      </c>
      <c r="U36" s="18">
        <f t="shared" si="35"/>
        <v>0</v>
      </c>
      <c r="V36" s="18">
        <f t="shared" si="36"/>
        <v>0</v>
      </c>
    </row>
    <row r="37" spans="1:22" hidden="1" x14ac:dyDescent="0.25">
      <c r="A37" s="16">
        <f t="shared" si="38"/>
        <v>18</v>
      </c>
      <c r="B37" s="17"/>
      <c r="C37" s="17"/>
      <c r="D37" s="16">
        <f>'01'!D37</f>
        <v>0</v>
      </c>
      <c r="E37" s="17">
        <f>+'30'!T37</f>
        <v>0</v>
      </c>
      <c r="F37" s="19">
        <f>+'30'!U37</f>
        <v>0</v>
      </c>
      <c r="G37" s="17">
        <f>+'30'!V37</f>
        <v>0</v>
      </c>
      <c r="H37" s="17"/>
      <c r="I37" s="18"/>
      <c r="J37" s="18">
        <f t="shared" si="28"/>
        <v>0</v>
      </c>
      <c r="K37" s="16">
        <f t="shared" si="29"/>
        <v>0</v>
      </c>
      <c r="L37" s="19">
        <f t="shared" si="30"/>
        <v>0</v>
      </c>
      <c r="M37" s="19">
        <f t="shared" si="31"/>
        <v>0</v>
      </c>
      <c r="N37" s="17"/>
      <c r="O37" s="18">
        <f t="shared" si="32"/>
        <v>0</v>
      </c>
      <c r="P37" s="17"/>
      <c r="Q37" s="18">
        <f t="shared" si="37"/>
        <v>0</v>
      </c>
      <c r="R37" s="17"/>
      <c r="S37" s="18">
        <f t="shared" si="33"/>
        <v>0</v>
      </c>
      <c r="T37" s="17">
        <f t="shared" si="34"/>
        <v>0</v>
      </c>
      <c r="U37" s="18">
        <f t="shared" si="35"/>
        <v>0</v>
      </c>
      <c r="V37" s="18">
        <f t="shared" si="36"/>
        <v>0</v>
      </c>
    </row>
    <row r="38" spans="1:22" s="3" customFormat="1" ht="24.75" customHeight="1" x14ac:dyDescent="0.25">
      <c r="A38" s="5"/>
      <c r="B38" s="39" t="str">
        <f>'01'!B38</f>
        <v>TOTAL BEER</v>
      </c>
      <c r="C38" s="39">
        <f>'01'!C38</f>
        <v>0</v>
      </c>
      <c r="D38" s="45">
        <f>'01'!D38</f>
        <v>96</v>
      </c>
      <c r="E38" s="5">
        <f>+SUM(E20:E24)</f>
        <v>35</v>
      </c>
      <c r="F38" s="5"/>
      <c r="G38" s="22">
        <f>+SUM(G20:G37)</f>
        <v>19.18</v>
      </c>
      <c r="H38" s="5">
        <f t="shared" ref="H38" si="39">+SUM(H20:H37)</f>
        <v>0</v>
      </c>
      <c r="I38" s="5"/>
      <c r="J38" s="22">
        <f t="shared" ref="J38:K38" si="40">+SUM(J20:J37)</f>
        <v>0</v>
      </c>
      <c r="K38" s="5">
        <f t="shared" si="40"/>
        <v>35</v>
      </c>
      <c r="L38" s="5"/>
      <c r="M38" s="22">
        <f t="shared" ref="M38:T38" si="41">+SUM(M20:M37)</f>
        <v>19.18</v>
      </c>
      <c r="N38" s="5">
        <f t="shared" si="41"/>
        <v>0</v>
      </c>
      <c r="O38" s="22">
        <f t="shared" si="41"/>
        <v>0</v>
      </c>
      <c r="P38" s="5">
        <f t="shared" si="41"/>
        <v>0</v>
      </c>
      <c r="Q38" s="22">
        <f t="shared" si="41"/>
        <v>0</v>
      </c>
      <c r="R38" s="5">
        <f t="shared" si="41"/>
        <v>0</v>
      </c>
      <c r="S38" s="22">
        <f t="shared" si="41"/>
        <v>0</v>
      </c>
      <c r="T38" s="5">
        <f t="shared" si="41"/>
        <v>35</v>
      </c>
      <c r="U38" s="5"/>
      <c r="V38" s="22">
        <f t="shared" ref="V38" si="42">+SUM(V20:V37)</f>
        <v>19.18</v>
      </c>
    </row>
    <row r="39" spans="1:22" s="3" customFormat="1" ht="21.75" customHeight="1" x14ac:dyDescent="0.25">
      <c r="A39" s="5"/>
      <c r="B39" s="39" t="str">
        <f>'01'!B39</f>
        <v xml:space="preserve">Grand TOTAL </v>
      </c>
      <c r="C39" s="39">
        <f>'01'!C39</f>
        <v>0</v>
      </c>
      <c r="D39" s="45">
        <f>'01'!D39</f>
        <v>480</v>
      </c>
      <c r="E39" s="5">
        <f>+SUM(E7:E38)/2</f>
        <v>263</v>
      </c>
      <c r="F39" s="5"/>
      <c r="G39" s="22">
        <f>+SUM(G7:G38)/2</f>
        <v>73.142731829573933</v>
      </c>
      <c r="H39" s="5">
        <f>+SUM(H7:H38)/2</f>
        <v>0</v>
      </c>
      <c r="I39" s="5"/>
      <c r="J39" s="22">
        <f>+SUM(J7:J38)/2</f>
        <v>0</v>
      </c>
      <c r="K39" s="5">
        <f>+SUM(K7:K38)/2</f>
        <v>263</v>
      </c>
      <c r="L39" s="5"/>
      <c r="M39" s="22">
        <f t="shared" ref="M39:T39" si="43">+SUM(M7:M38)/2</f>
        <v>73.142731829573933</v>
      </c>
      <c r="N39" s="5">
        <f t="shared" si="43"/>
        <v>0</v>
      </c>
      <c r="O39" s="22">
        <f t="shared" si="43"/>
        <v>0</v>
      </c>
      <c r="P39" s="5">
        <f t="shared" si="43"/>
        <v>0</v>
      </c>
      <c r="Q39" s="22">
        <f t="shared" si="43"/>
        <v>0</v>
      </c>
      <c r="R39" s="5">
        <f t="shared" si="43"/>
        <v>1</v>
      </c>
      <c r="S39" s="22">
        <f t="shared" si="43"/>
        <v>0.13104010025062657</v>
      </c>
      <c r="T39" s="5">
        <f t="shared" si="43"/>
        <v>262</v>
      </c>
      <c r="U39" s="5"/>
      <c r="V39" s="22">
        <f>+SUM(V7:V38)/2</f>
        <v>73.011691729323303</v>
      </c>
    </row>
    <row r="40" spans="1:22" x14ac:dyDescent="0.25">
      <c r="O40" s="1"/>
      <c r="P40" s="4"/>
      <c r="Q40" s="1"/>
      <c r="R40" s="4"/>
      <c r="S40" s="1"/>
      <c r="T40" s="4"/>
      <c r="V40" s="1"/>
    </row>
    <row r="41" spans="1:22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O41" s="1"/>
      <c r="P41" s="4"/>
      <c r="Q41" s="1"/>
      <c r="R41" s="75" t="s">
        <v>49</v>
      </c>
      <c r="S41" s="75"/>
      <c r="T41" s="75"/>
      <c r="U41" s="75"/>
      <c r="V41" s="75"/>
    </row>
    <row r="42" spans="1:22" x14ac:dyDescent="0.25">
      <c r="O42" s="1"/>
      <c r="P42" s="4"/>
      <c r="Q42" s="1"/>
      <c r="R42" s="4"/>
      <c r="S42" s="1"/>
      <c r="T42" s="4"/>
      <c r="V42" s="1"/>
    </row>
    <row r="43" spans="1:22" x14ac:dyDescent="0.25">
      <c r="O43" s="1"/>
      <c r="P43" s="4"/>
      <c r="Q43" s="1"/>
      <c r="R43" s="4"/>
      <c r="S43" s="1"/>
      <c r="T43" s="4"/>
      <c r="V43" s="1"/>
    </row>
    <row r="47" spans="1:22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30">
    <mergeCell ref="A47:B47"/>
    <mergeCell ref="H47:M47"/>
    <mergeCell ref="R47:V47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T4:V4"/>
    <mergeCell ref="E6:G6"/>
    <mergeCell ref="W4:AB4"/>
    <mergeCell ref="W6:Z6"/>
    <mergeCell ref="AA6:AB6"/>
    <mergeCell ref="W20:X20"/>
    <mergeCell ref="A41:B41"/>
    <mergeCell ref="H41:M41"/>
    <mergeCell ref="R41:V41"/>
    <mergeCell ref="W5:X5"/>
    <mergeCell ref="H6:J6"/>
    <mergeCell ref="K6:M6"/>
    <mergeCell ref="N6:O6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colBreaks count="1" manualBreakCount="1">
    <brk id="22" max="1048575" man="1"/>
  </colBreaks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53FE-3A7B-4066-BAD4-8DAC49F7FCED}">
  <sheetPr>
    <tabColor rgb="FF00B0F0"/>
  </sheetPr>
  <dimension ref="A2:Y47"/>
  <sheetViews>
    <sheetView view="pageBreakPreview" zoomScaleNormal="100" zoomScaleSheetLayoutView="100" workbookViewId="0">
      <pane xSplit="2" ySplit="7" topLeftCell="C8" activePane="bottomRight" state="frozen"/>
      <selection activeCell="J11" sqref="J11"/>
      <selection pane="topRight" activeCell="J11" sqref="J11"/>
      <selection pane="bottomLeft" activeCell="J11" sqref="J11"/>
      <selection pane="bottomRight" activeCell="U8" sqref="U8"/>
    </sheetView>
  </sheetViews>
  <sheetFormatPr defaultColWidth="9.109375" defaultRowHeight="13.8" x14ac:dyDescent="0.25"/>
  <cols>
    <col min="1" max="1" width="4.5546875" style="2" customWidth="1"/>
    <col min="2" max="2" width="36" style="1" bestFit="1" customWidth="1"/>
    <col min="3" max="3" width="31.6640625" style="1" customWidth="1"/>
    <col min="4" max="4" width="5.5546875" style="2" customWidth="1"/>
    <col min="5" max="5" width="9.109375" style="2"/>
    <col min="6" max="6" width="9.109375" style="11"/>
    <col min="7" max="7" width="10" style="11" bestFit="1" customWidth="1"/>
    <col min="8" max="8" width="4.44140625" style="2" bestFit="1" customWidth="1"/>
    <col min="9" max="9" width="9.109375" style="11"/>
    <col min="10" max="10" width="11.6640625" style="2" bestFit="1" customWidth="1"/>
    <col min="11" max="11" width="9.109375" style="12"/>
    <col min="12" max="12" width="9.109375" style="11" customWidth="1"/>
    <col min="13" max="13" width="11.6640625" style="11" bestFit="1" customWidth="1"/>
    <col min="14" max="14" width="9.109375" style="2"/>
    <col min="15" max="15" width="9.109375" style="11"/>
    <col min="16" max="16" width="0" style="2" hidden="1" customWidth="1"/>
    <col min="17" max="17" width="0" style="11" hidden="1" customWidth="1"/>
    <col min="18" max="18" width="9.109375" style="2"/>
    <col min="19" max="19" width="11.6640625" style="11" bestFit="1" customWidth="1"/>
    <col min="20" max="20" width="9.88671875" style="2" customWidth="1"/>
    <col min="21" max="21" width="9.109375" style="11"/>
    <col min="22" max="22" width="10" style="11" bestFit="1" customWidth="1"/>
    <col min="23" max="25" width="13.21875" style="1" hidden="1" customWidth="1"/>
    <col min="26" max="16384" width="9.109375" style="1"/>
  </cols>
  <sheetData>
    <row r="2" spans="1:25" ht="27.6" x14ac:dyDescent="0.45">
      <c r="A2" s="80" t="s">
        <v>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4" spans="1:25" x14ac:dyDescent="0.25">
      <c r="S4" s="11" t="s">
        <v>37</v>
      </c>
      <c r="T4" s="13"/>
      <c r="U4" s="14"/>
      <c r="V4" s="15"/>
    </row>
    <row r="5" spans="1:25" s="6" customFormat="1" ht="15" customHeight="1" x14ac:dyDescent="0.3">
      <c r="A5" s="76" t="s">
        <v>0</v>
      </c>
      <c r="B5" s="76" t="s">
        <v>1</v>
      </c>
      <c r="C5" s="76"/>
      <c r="D5" s="77" t="s">
        <v>47</v>
      </c>
      <c r="E5" s="76" t="s">
        <v>4</v>
      </c>
      <c r="F5" s="76"/>
      <c r="G5" s="76"/>
      <c r="H5" s="76" t="s">
        <v>6</v>
      </c>
      <c r="I5" s="76"/>
      <c r="J5" s="76"/>
      <c r="K5" s="76" t="s">
        <v>8</v>
      </c>
      <c r="L5" s="76"/>
      <c r="M5" s="76"/>
      <c r="N5" s="76" t="s">
        <v>45</v>
      </c>
      <c r="O5" s="76" t="s">
        <v>10</v>
      </c>
      <c r="P5" s="76" t="s">
        <v>12</v>
      </c>
      <c r="Q5" s="76" t="s">
        <v>14</v>
      </c>
      <c r="R5" s="76" t="s">
        <v>36</v>
      </c>
      <c r="S5" s="76" t="s">
        <v>14</v>
      </c>
      <c r="T5" s="76" t="s">
        <v>16</v>
      </c>
      <c r="U5" s="76"/>
      <c r="V5" s="76"/>
    </row>
    <row r="6" spans="1:25" s="6" customFormat="1" ht="24.75" customHeight="1" x14ac:dyDescent="0.4">
      <c r="A6" s="76"/>
      <c r="B6" s="5" t="s">
        <v>2</v>
      </c>
      <c r="C6" s="5" t="s">
        <v>3</v>
      </c>
      <c r="D6" s="77"/>
      <c r="E6" s="76" t="s">
        <v>5</v>
      </c>
      <c r="F6" s="76"/>
      <c r="G6" s="76"/>
      <c r="H6" s="76" t="s">
        <v>7</v>
      </c>
      <c r="I6" s="76"/>
      <c r="J6" s="76"/>
      <c r="K6" s="76" t="s">
        <v>9</v>
      </c>
      <c r="L6" s="76"/>
      <c r="M6" s="76"/>
      <c r="N6" s="76" t="s">
        <v>46</v>
      </c>
      <c r="O6" s="76" t="s">
        <v>11</v>
      </c>
      <c r="P6" s="76" t="s">
        <v>13</v>
      </c>
      <c r="Q6" s="76" t="s">
        <v>15</v>
      </c>
      <c r="R6" s="76" t="s">
        <v>15</v>
      </c>
      <c r="S6" s="76" t="s">
        <v>15</v>
      </c>
      <c r="T6" s="76" t="s">
        <v>17</v>
      </c>
      <c r="U6" s="76"/>
      <c r="V6" s="86"/>
      <c r="W6" s="87" t="s">
        <v>69</v>
      </c>
      <c r="X6" s="88"/>
      <c r="Y6" s="89"/>
    </row>
    <row r="7" spans="1:25" s="3" customFormat="1" ht="24.75" customHeight="1" x14ac:dyDescent="0.5">
      <c r="A7" s="5"/>
      <c r="B7" s="40" t="str">
        <f>'01'!B7</f>
        <v xml:space="preserve">Soft Drink </v>
      </c>
      <c r="C7" s="44" t="s">
        <v>59</v>
      </c>
      <c r="D7" s="40"/>
      <c r="E7" s="5" t="s">
        <v>33</v>
      </c>
      <c r="F7" s="5" t="s">
        <v>34</v>
      </c>
      <c r="G7" s="5" t="s">
        <v>35</v>
      </c>
      <c r="H7" s="5" t="s">
        <v>33</v>
      </c>
      <c r="I7" s="5" t="s">
        <v>34</v>
      </c>
      <c r="J7" s="5" t="s">
        <v>35</v>
      </c>
      <c r="K7" s="5" t="s">
        <v>33</v>
      </c>
      <c r="L7" s="5" t="s">
        <v>34</v>
      </c>
      <c r="M7" s="5" t="s">
        <v>35</v>
      </c>
      <c r="N7" s="5" t="s">
        <v>33</v>
      </c>
      <c r="O7" s="5" t="s">
        <v>35</v>
      </c>
      <c r="P7" s="5" t="s">
        <v>33</v>
      </c>
      <c r="Q7" s="5" t="s">
        <v>35</v>
      </c>
      <c r="R7" s="5" t="s">
        <v>33</v>
      </c>
      <c r="S7" s="5" t="s">
        <v>35</v>
      </c>
      <c r="T7" s="5" t="s">
        <v>33</v>
      </c>
      <c r="U7" s="5" t="s">
        <v>34</v>
      </c>
      <c r="V7" s="50" t="s">
        <v>35</v>
      </c>
      <c r="W7" s="54" t="s">
        <v>33</v>
      </c>
      <c r="X7" s="54" t="s">
        <v>34</v>
      </c>
      <c r="Y7" s="54" t="s">
        <v>35</v>
      </c>
    </row>
    <row r="8" spans="1:25" ht="15" customHeight="1" x14ac:dyDescent="0.3">
      <c r="A8" s="16">
        <v>1</v>
      </c>
      <c r="B8" s="17" t="str">
        <f>'01'!B8</f>
        <v>Cocacola Classic 330ml (24cans)</v>
      </c>
      <c r="C8" s="47" t="str">
        <f>'01'!C8</f>
        <v>កូកា ក្លាស៊ិក (កំប៉ុង៣៣០មម)</v>
      </c>
      <c r="D8" s="16">
        <f>'01'!D8</f>
        <v>48</v>
      </c>
      <c r="E8" s="17">
        <f>'01'!E8</f>
        <v>1</v>
      </c>
      <c r="F8" s="19">
        <v>0.36249999999999999</v>
      </c>
      <c r="G8" s="17">
        <v>15.95</v>
      </c>
      <c r="H8" s="16">
        <f>+SUM('01:31'!H8)</f>
        <v>24</v>
      </c>
      <c r="I8" s="20">
        <f t="shared" ref="I8:I14" si="0">IF(H8=0,,J8/H8)</f>
        <v>0.36249999999999999</v>
      </c>
      <c r="J8" s="16">
        <f>+SUM('01:31'!J9)</f>
        <v>8.6999999999999993</v>
      </c>
      <c r="K8" s="21">
        <f>+E8+H8</f>
        <v>25</v>
      </c>
      <c r="L8" s="20">
        <f t="shared" ref="L8:L14" si="1">IF(K8=0,,M8/K8)</f>
        <v>0.98599999999999999</v>
      </c>
      <c r="M8" s="20">
        <f>+J8+G8</f>
        <v>24.65</v>
      </c>
      <c r="N8" s="16">
        <f>+SUM('01:31'!N8)</f>
        <v>2</v>
      </c>
      <c r="O8" s="20">
        <f>+SUM('01:31'!O9)</f>
        <v>0</v>
      </c>
      <c r="P8" s="16">
        <f>+SUM('01:31'!P9)</f>
        <v>0</v>
      </c>
      <c r="Q8" s="20">
        <f>+SUM('01:31'!Q9)</f>
        <v>0</v>
      </c>
      <c r="R8" s="16">
        <f>+SUM('01:31'!R8)</f>
        <v>22</v>
      </c>
      <c r="S8" s="20">
        <f>+SUM('01:31'!S8)</f>
        <v>7.9749999999999996</v>
      </c>
      <c r="T8" s="16">
        <f>+K8-N8-R8</f>
        <v>1</v>
      </c>
      <c r="U8" s="20">
        <v>0.96</v>
      </c>
      <c r="V8" s="51">
        <f>T8*U8</f>
        <v>0.96</v>
      </c>
      <c r="W8" s="60">
        <f>D8+H8-T8</f>
        <v>71</v>
      </c>
      <c r="X8" s="56">
        <f t="shared" ref="X8:X24" si="2">IF(T8=0,,V8/T8)</f>
        <v>0.96</v>
      </c>
      <c r="Y8" s="57">
        <f>X8*W8</f>
        <v>68.16</v>
      </c>
    </row>
    <row r="9" spans="1:25" ht="15" customHeight="1" x14ac:dyDescent="0.3">
      <c r="A9" s="16">
        <f t="shared" ref="A9:A14" si="3">+A8+1</f>
        <v>2</v>
      </c>
      <c r="B9" s="17" t="str">
        <f>'01'!B9</f>
        <v>Cocacola Zero 330ml (24cans)</v>
      </c>
      <c r="C9" s="47" t="str">
        <f>'01'!C9</f>
        <v>កូកា សេរ៉ូ (កំប៉ុង៣៣០មម)</v>
      </c>
      <c r="D9" s="16">
        <f>'01'!D9</f>
        <v>48</v>
      </c>
      <c r="E9" s="17">
        <f>'01'!E9</f>
        <v>18</v>
      </c>
      <c r="F9" s="19">
        <v>0.36249999999999999</v>
      </c>
      <c r="G9" s="17">
        <v>16.3125</v>
      </c>
      <c r="H9" s="16">
        <f>+SUM('01:31'!H9)</f>
        <v>24</v>
      </c>
      <c r="I9" s="20">
        <f t="shared" si="0"/>
        <v>0</v>
      </c>
      <c r="J9" s="16">
        <f>+SUM('01:31'!J10)</f>
        <v>0</v>
      </c>
      <c r="K9" s="21">
        <f t="shared" ref="K9:K14" si="4">+E9+H9</f>
        <v>42</v>
      </c>
      <c r="L9" s="20">
        <f t="shared" si="1"/>
        <v>0.38839285714285715</v>
      </c>
      <c r="M9" s="20">
        <f t="shared" ref="M9:M14" si="5">+J9+G9</f>
        <v>16.3125</v>
      </c>
      <c r="N9" s="16">
        <f>+SUM('01:31'!N9)</f>
        <v>0</v>
      </c>
      <c r="O9" s="20">
        <f>+SUM('01:31'!O10)</f>
        <v>0</v>
      </c>
      <c r="P9" s="16">
        <f>+SUM('01:31'!P10)</f>
        <v>0</v>
      </c>
      <c r="Q9" s="20">
        <f>+SUM('01:31'!Q10)</f>
        <v>0</v>
      </c>
      <c r="R9" s="16">
        <f>+SUM('01:31'!R9)</f>
        <v>0</v>
      </c>
      <c r="S9" s="20">
        <f>+SUM('01:31'!S9)</f>
        <v>0</v>
      </c>
      <c r="T9" s="16">
        <f>+K9-N9-R9</f>
        <v>42</v>
      </c>
      <c r="U9" s="20">
        <v>0.96</v>
      </c>
      <c r="V9" s="51">
        <f t="shared" ref="V9:V14" si="6">T9*U9</f>
        <v>40.32</v>
      </c>
      <c r="W9" s="60">
        <f t="shared" ref="W9:W14" si="7">D9+H9-T9</f>
        <v>30</v>
      </c>
      <c r="X9" s="56">
        <f t="shared" si="2"/>
        <v>0.96</v>
      </c>
      <c r="Y9" s="57">
        <f t="shared" ref="Y9:Y24" si="8">X9*W9</f>
        <v>28.799999999999997</v>
      </c>
    </row>
    <row r="10" spans="1:25" ht="14.4" x14ac:dyDescent="0.3">
      <c r="A10" s="16">
        <f t="shared" si="3"/>
        <v>3</v>
      </c>
      <c r="B10" s="17" t="str">
        <f>'01'!B10</f>
        <v>Cocacola Light 330ml (24cans)</v>
      </c>
      <c r="C10" s="47" t="str">
        <f>'01'!C10</f>
        <v>កូកា ឡៃ (កំប៉ុង៣៣០មម)</v>
      </c>
      <c r="D10" s="16">
        <f>'01'!D10</f>
        <v>48</v>
      </c>
      <c r="E10" s="17">
        <f>'01'!E10</f>
        <v>11</v>
      </c>
      <c r="F10" s="19">
        <v>0.36249999999999993</v>
      </c>
      <c r="G10" s="17">
        <v>17.037499999999998</v>
      </c>
      <c r="H10" s="16">
        <f>+SUM('01:31'!H10)</f>
        <v>0</v>
      </c>
      <c r="I10" s="20">
        <f t="shared" si="0"/>
        <v>0</v>
      </c>
      <c r="J10" s="16">
        <f>+SUM('01:31'!J11)</f>
        <v>7.1999999999999993</v>
      </c>
      <c r="K10" s="21">
        <f t="shared" si="4"/>
        <v>11</v>
      </c>
      <c r="L10" s="20">
        <f t="shared" si="1"/>
        <v>2.2034090909090907</v>
      </c>
      <c r="M10" s="20">
        <f t="shared" si="5"/>
        <v>24.237499999999997</v>
      </c>
      <c r="N10" s="16">
        <f>+SUM('01:31'!N10)</f>
        <v>0</v>
      </c>
      <c r="O10" s="20">
        <f>+SUM('01:31'!O11)</f>
        <v>0</v>
      </c>
      <c r="P10" s="16">
        <f>+SUM('01:31'!P11)</f>
        <v>0</v>
      </c>
      <c r="Q10" s="20">
        <f>+SUM('01:31'!Q11)</f>
        <v>0</v>
      </c>
      <c r="R10" s="16">
        <f>+SUM('01:31'!R10)</f>
        <v>3</v>
      </c>
      <c r="S10" s="20">
        <f>+SUM('01:31'!S10)</f>
        <v>1.0874999999999999</v>
      </c>
      <c r="T10" s="16">
        <f t="shared" ref="T10:T14" si="9">+K10-N10-R10</f>
        <v>8</v>
      </c>
      <c r="U10" s="20">
        <v>0.96</v>
      </c>
      <c r="V10" s="51">
        <f t="shared" si="6"/>
        <v>7.68</v>
      </c>
      <c r="W10" s="60">
        <f t="shared" si="7"/>
        <v>40</v>
      </c>
      <c r="X10" s="56">
        <f t="shared" si="2"/>
        <v>0.96</v>
      </c>
      <c r="Y10" s="57">
        <f t="shared" si="8"/>
        <v>38.4</v>
      </c>
    </row>
    <row r="11" spans="1:25" ht="14.4" x14ac:dyDescent="0.3">
      <c r="A11" s="16">
        <f t="shared" si="3"/>
        <v>4</v>
      </c>
      <c r="B11" s="17" t="str">
        <f>'01'!B11</f>
        <v>Sprite 330ml (24cans)</v>
      </c>
      <c r="C11" s="47" t="str">
        <f>'01'!C11</f>
        <v>ស្ព្រៃ (កំប៉ុង៣៣០មម)</v>
      </c>
      <c r="D11" s="16">
        <f>'01'!D11</f>
        <v>48</v>
      </c>
      <c r="E11" s="17">
        <f>'01'!E11</f>
        <v>2</v>
      </c>
      <c r="F11" s="19">
        <v>0.36249999999999999</v>
      </c>
      <c r="G11" s="17">
        <v>16.675000000000001</v>
      </c>
      <c r="H11" s="16">
        <f>+SUM('01:31'!H11)</f>
        <v>24</v>
      </c>
      <c r="I11" s="20">
        <f t="shared" si="0"/>
        <v>0</v>
      </c>
      <c r="J11" s="16">
        <f>+SUM('01:31'!J12)</f>
        <v>0</v>
      </c>
      <c r="K11" s="21">
        <f t="shared" si="4"/>
        <v>26</v>
      </c>
      <c r="L11" s="20">
        <f t="shared" si="1"/>
        <v>0.6413461538461539</v>
      </c>
      <c r="M11" s="20">
        <f t="shared" si="5"/>
        <v>16.675000000000001</v>
      </c>
      <c r="N11" s="16">
        <f>+SUM('01:31'!N11)</f>
        <v>0</v>
      </c>
      <c r="O11" s="20">
        <f>+SUM('01:31'!O12)</f>
        <v>0.72499999999999998</v>
      </c>
      <c r="P11" s="16">
        <f>+SUM('01:31'!P12)</f>
        <v>0</v>
      </c>
      <c r="Q11" s="20">
        <f>+SUM('01:31'!Q12)</f>
        <v>0</v>
      </c>
      <c r="R11" s="16">
        <f>+SUM('01:31'!R11)</f>
        <v>4</v>
      </c>
      <c r="S11" s="20">
        <f>+SUM('01:31'!S11)</f>
        <v>1.325</v>
      </c>
      <c r="T11" s="16">
        <f t="shared" si="9"/>
        <v>22</v>
      </c>
      <c r="U11" s="20">
        <v>0.49</v>
      </c>
      <c r="V11" s="51">
        <f t="shared" si="6"/>
        <v>10.78</v>
      </c>
      <c r="W11" s="60">
        <f t="shared" si="7"/>
        <v>50</v>
      </c>
      <c r="X11" s="56">
        <f t="shared" si="2"/>
        <v>0.49</v>
      </c>
      <c r="Y11" s="57">
        <f t="shared" si="8"/>
        <v>24.5</v>
      </c>
    </row>
    <row r="12" spans="1:25" ht="14.4" x14ac:dyDescent="0.3">
      <c r="A12" s="16">
        <f t="shared" si="3"/>
        <v>5</v>
      </c>
      <c r="B12" s="17" t="str">
        <f>'01'!B12</f>
        <v>Schweppes Soda Water 330ml (24cans)</v>
      </c>
      <c r="C12" s="47" t="str">
        <f>'01'!C12</f>
        <v>ទឹកសូដា (កំប៉ុង៣៣០មម)</v>
      </c>
      <c r="D12" s="16">
        <f>'01'!D12</f>
        <v>48</v>
      </c>
      <c r="E12" s="17">
        <f>'01'!E12</f>
        <v>14</v>
      </c>
      <c r="F12" s="19">
        <v>0.36249999999999999</v>
      </c>
      <c r="G12" s="17">
        <v>17.399999999999999</v>
      </c>
      <c r="H12" s="16">
        <f>+SUM('01:31'!H12)</f>
        <v>0</v>
      </c>
      <c r="I12" s="20">
        <f t="shared" si="0"/>
        <v>0</v>
      </c>
      <c r="J12" s="16">
        <f>+SUM('01:31'!J13)</f>
        <v>0</v>
      </c>
      <c r="K12" s="21">
        <f t="shared" si="4"/>
        <v>14</v>
      </c>
      <c r="L12" s="20">
        <f t="shared" si="1"/>
        <v>1.2428571428571427</v>
      </c>
      <c r="M12" s="20">
        <f t="shared" si="5"/>
        <v>17.399999999999999</v>
      </c>
      <c r="N12" s="16">
        <f>+SUM('01:31'!N12)</f>
        <v>2</v>
      </c>
      <c r="O12" s="20">
        <f>+SUM('01:31'!O13)</f>
        <v>0</v>
      </c>
      <c r="P12" s="16">
        <f>+SUM('01:31'!P13)</f>
        <v>0</v>
      </c>
      <c r="Q12" s="20">
        <f>+SUM('01:31'!Q13)</f>
        <v>0</v>
      </c>
      <c r="R12" s="16">
        <f>+SUM('01:31'!R12)</f>
        <v>8</v>
      </c>
      <c r="S12" s="20">
        <f>+SUM('01:31'!S12)</f>
        <v>2.9</v>
      </c>
      <c r="T12" s="16">
        <f t="shared" si="9"/>
        <v>4</v>
      </c>
      <c r="U12" s="20">
        <v>0.36</v>
      </c>
      <c r="V12" s="51">
        <f t="shared" si="6"/>
        <v>1.44</v>
      </c>
      <c r="W12" s="60">
        <f t="shared" si="7"/>
        <v>44</v>
      </c>
      <c r="X12" s="56">
        <f t="shared" si="2"/>
        <v>0.36</v>
      </c>
      <c r="Y12" s="57">
        <f t="shared" si="8"/>
        <v>15.84</v>
      </c>
    </row>
    <row r="13" spans="1:25" ht="14.4" x14ac:dyDescent="0.3">
      <c r="A13" s="16">
        <f t="shared" si="3"/>
        <v>6</v>
      </c>
      <c r="B13" s="17" t="str">
        <f>'01'!B13</f>
        <v>Schweppes Tonic Water 330ml (24cans)</v>
      </c>
      <c r="C13" s="47" t="str">
        <f>'01'!C13</f>
        <v>ទឹកតូនិច (កំប៉ុង៣៣០មម)</v>
      </c>
      <c r="D13" s="16">
        <f>'01'!D13</f>
        <v>48</v>
      </c>
      <c r="E13" s="17">
        <f>'01'!E13</f>
        <v>19</v>
      </c>
      <c r="F13" s="19">
        <v>0.36249999999999999</v>
      </c>
      <c r="G13" s="17">
        <v>17.399999999999999</v>
      </c>
      <c r="H13" s="16">
        <f>+SUM('01:31'!H13)</f>
        <v>0</v>
      </c>
      <c r="I13" s="20">
        <f t="shared" si="0"/>
        <v>0</v>
      </c>
      <c r="J13" s="16">
        <f>+SUM('01:31'!J14)</f>
        <v>0</v>
      </c>
      <c r="K13" s="21">
        <f t="shared" si="4"/>
        <v>19</v>
      </c>
      <c r="L13" s="20">
        <f t="shared" si="1"/>
        <v>0.91578947368421049</v>
      </c>
      <c r="M13" s="20">
        <f t="shared" si="5"/>
        <v>17.399999999999999</v>
      </c>
      <c r="N13" s="16">
        <f>+SUM('01:31'!N13)</f>
        <v>0</v>
      </c>
      <c r="O13" s="20">
        <f>+SUM('01:31'!O14)</f>
        <v>0</v>
      </c>
      <c r="P13" s="16">
        <f>+SUM('01:31'!P14)</f>
        <v>0</v>
      </c>
      <c r="Q13" s="20">
        <f>+SUM('01:31'!Q14)</f>
        <v>0</v>
      </c>
      <c r="R13" s="16">
        <f>+SUM('01:31'!R13)</f>
        <v>2</v>
      </c>
      <c r="S13" s="20">
        <f>+SUM('01:31'!S13)</f>
        <v>0.72499999999999998</v>
      </c>
      <c r="T13" s="16">
        <f t="shared" si="9"/>
        <v>17</v>
      </c>
      <c r="U13" s="20">
        <v>0.39</v>
      </c>
      <c r="V13" s="51">
        <f t="shared" si="6"/>
        <v>6.63</v>
      </c>
      <c r="W13" s="60">
        <f t="shared" si="7"/>
        <v>31</v>
      </c>
      <c r="X13" s="56">
        <f t="shared" si="2"/>
        <v>0.39</v>
      </c>
      <c r="Y13" s="57">
        <f t="shared" si="8"/>
        <v>12.09</v>
      </c>
    </row>
    <row r="14" spans="1:25" ht="14.4" x14ac:dyDescent="0.3">
      <c r="A14" s="16">
        <f t="shared" si="3"/>
        <v>7</v>
      </c>
      <c r="B14" s="17" t="str">
        <f>'01'!B14</f>
        <v>Schweppes Ginger Ale 330ml (24cans)</v>
      </c>
      <c r="C14" s="47" t="str">
        <f>'01'!C14</f>
        <v>ទឹក Ginger ale (កំប៉ុង៣៣០មម)</v>
      </c>
      <c r="D14" s="16">
        <f>'01'!D14</f>
        <v>48</v>
      </c>
      <c r="E14" s="17">
        <f>'01'!E14</f>
        <v>20</v>
      </c>
      <c r="F14" s="19">
        <v>0.36249999999999993</v>
      </c>
      <c r="G14" s="17">
        <v>17.037499999999998</v>
      </c>
      <c r="H14" s="16">
        <f>+SUM('01:31'!H14)</f>
        <v>0</v>
      </c>
      <c r="I14" s="20">
        <f t="shared" si="0"/>
        <v>0</v>
      </c>
      <c r="J14" s="16">
        <f>+SUM('01:31'!J15)</f>
        <v>24.599999999999998</v>
      </c>
      <c r="K14" s="21">
        <f t="shared" si="4"/>
        <v>20</v>
      </c>
      <c r="L14" s="20">
        <f t="shared" si="1"/>
        <v>2.0818749999999997</v>
      </c>
      <c r="M14" s="20">
        <f t="shared" si="5"/>
        <v>41.637499999999996</v>
      </c>
      <c r="N14" s="16">
        <f>+SUM('01:31'!N14)</f>
        <v>0</v>
      </c>
      <c r="O14" s="20">
        <f>+SUM('01:31'!O15)</f>
        <v>1.4499999999999997</v>
      </c>
      <c r="P14" s="16">
        <f>+SUM('01:31'!P15)</f>
        <v>0</v>
      </c>
      <c r="Q14" s="20">
        <f>+SUM('01:31'!Q15)</f>
        <v>0</v>
      </c>
      <c r="R14" s="16">
        <f>+SUM('01:31'!R14)</f>
        <v>4</v>
      </c>
      <c r="S14" s="20">
        <f>+SUM('01:31'!S14)</f>
        <v>1.45</v>
      </c>
      <c r="T14" s="16">
        <f t="shared" si="9"/>
        <v>16</v>
      </c>
      <c r="U14" s="20">
        <v>0.42</v>
      </c>
      <c r="V14" s="51">
        <f t="shared" si="6"/>
        <v>6.72</v>
      </c>
      <c r="W14" s="60">
        <f t="shared" si="7"/>
        <v>32</v>
      </c>
      <c r="X14" s="56">
        <f t="shared" si="2"/>
        <v>0.42</v>
      </c>
      <c r="Y14" s="57">
        <f t="shared" si="8"/>
        <v>13.44</v>
      </c>
    </row>
    <row r="15" spans="1:25" s="3" customFormat="1" ht="24.75" customHeight="1" x14ac:dyDescent="0.3">
      <c r="A15" s="5"/>
      <c r="B15" s="40" t="str">
        <f>'01'!B15</f>
        <v>TOTAL SOFT DRINK</v>
      </c>
      <c r="C15" s="48">
        <f>'01'!C15</f>
        <v>0</v>
      </c>
      <c r="D15" s="45">
        <f>'01'!D15</f>
        <v>336</v>
      </c>
      <c r="E15" s="5">
        <v>325</v>
      </c>
      <c r="F15" s="5"/>
      <c r="G15" s="22">
        <v>117.8125</v>
      </c>
      <c r="H15" s="5">
        <f>+SUM(H8:H14)</f>
        <v>72</v>
      </c>
      <c r="I15" s="5"/>
      <c r="J15" s="22">
        <f>+SUM(J8:J14)</f>
        <v>40.5</v>
      </c>
      <c r="K15" s="5">
        <f t="shared" ref="K15" si="10">+SUM(K8:K14)</f>
        <v>157</v>
      </c>
      <c r="L15" s="5"/>
      <c r="M15" s="22">
        <f t="shared" ref="M15:T15" si="11">+SUM(M8:M14)</f>
        <v>158.31249999999997</v>
      </c>
      <c r="N15" s="5">
        <f t="shared" si="11"/>
        <v>4</v>
      </c>
      <c r="O15" s="22">
        <f t="shared" si="11"/>
        <v>2.1749999999999998</v>
      </c>
      <c r="P15" s="5">
        <f t="shared" si="11"/>
        <v>0</v>
      </c>
      <c r="Q15" s="22">
        <f t="shared" si="11"/>
        <v>0</v>
      </c>
      <c r="R15" s="5">
        <f t="shared" si="11"/>
        <v>43</v>
      </c>
      <c r="S15" s="22">
        <f t="shared" si="11"/>
        <v>15.462499999999999</v>
      </c>
      <c r="T15" s="5">
        <f t="shared" si="11"/>
        <v>110</v>
      </c>
      <c r="U15" s="5"/>
      <c r="V15" s="52">
        <f t="shared" ref="V15" si="12">+SUM(V8:V14)</f>
        <v>74.53</v>
      </c>
      <c r="W15" s="61">
        <f t="shared" ref="W15:W24" si="13">D15-T15</f>
        <v>226</v>
      </c>
      <c r="X15" s="58">
        <f t="shared" si="2"/>
        <v>0.67754545454545456</v>
      </c>
      <c r="Y15" s="59">
        <f t="shared" si="8"/>
        <v>153.12527272727274</v>
      </c>
    </row>
    <row r="16" spans="1:25" s="3" customFormat="1" ht="14.25" customHeight="1" x14ac:dyDescent="0.3">
      <c r="A16" s="5"/>
      <c r="B16" s="40" t="str">
        <f>'01'!B16</f>
        <v xml:space="preserve">Water </v>
      </c>
      <c r="C16" s="48">
        <f>'01'!C16</f>
        <v>0</v>
      </c>
      <c r="D16" s="45">
        <f>'01'!D16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0"/>
      <c r="W16" s="61">
        <f t="shared" si="13"/>
        <v>0</v>
      </c>
      <c r="X16" s="58">
        <f t="shared" si="2"/>
        <v>0</v>
      </c>
      <c r="Y16" s="59">
        <f t="shared" si="8"/>
        <v>0</v>
      </c>
    </row>
    <row r="17" spans="1:25" ht="14.4" x14ac:dyDescent="0.3">
      <c r="A17" s="16">
        <f>+A14+1</f>
        <v>8</v>
      </c>
      <c r="B17" s="17" t="str">
        <f>'01'!B17</f>
        <v>Dasani 500ml (24 Btl)</v>
      </c>
      <c r="C17" s="47">
        <f>'01'!C17</f>
        <v>0</v>
      </c>
      <c r="D17" s="16">
        <f>'01'!D17</f>
        <v>48</v>
      </c>
      <c r="E17" s="17">
        <f>'01'!E17</f>
        <v>34</v>
      </c>
      <c r="F17" s="19">
        <v>0.14833333333333334</v>
      </c>
      <c r="G17" s="19">
        <v>6.6750000000000007</v>
      </c>
      <c r="H17" s="16">
        <f>+SUM('01:31'!H17)</f>
        <v>120</v>
      </c>
      <c r="I17" s="20">
        <f>IF(H17=0,,J17/H17)</f>
        <v>0.12916666666666668</v>
      </c>
      <c r="J17" s="16">
        <f>+SUM('01:31'!J18)</f>
        <v>15.500000000000002</v>
      </c>
      <c r="K17" s="21">
        <f>+E17+H17</f>
        <v>154</v>
      </c>
      <c r="L17" s="20">
        <f t="shared" ref="L17" si="14">IF(K17=0,,M17/K17)</f>
        <v>0.14399350649350653</v>
      </c>
      <c r="M17" s="20">
        <f>+J17+G17</f>
        <v>22.175000000000004</v>
      </c>
      <c r="N17" s="16">
        <f>+SUM('01:31'!N17)</f>
        <v>0</v>
      </c>
      <c r="O17" s="20">
        <f>+SUM('01:31'!O18)</f>
        <v>0</v>
      </c>
      <c r="P17" s="16">
        <f>+SUM('01:31'!P18)</f>
        <v>0</v>
      </c>
      <c r="Q17" s="20">
        <f>+SUM('01:31'!Q18)</f>
        <v>0</v>
      </c>
      <c r="R17" s="16">
        <f>+SUM('01:31'!R17)</f>
        <v>37</v>
      </c>
      <c r="S17" s="20">
        <f>+SUM('01:31'!S18)</f>
        <v>5.2116416040100253</v>
      </c>
      <c r="T17" s="16">
        <f>+K17-N17-R17</f>
        <v>117</v>
      </c>
      <c r="U17" s="20">
        <f t="shared" ref="U17" si="15">IF(T17=0,,V17/T17)</f>
        <v>0.14498596919649553</v>
      </c>
      <c r="V17" s="51">
        <f>+M17-O17-Q17-S17</f>
        <v>16.963358395989978</v>
      </c>
      <c r="W17" s="60">
        <f t="shared" ref="W17" si="16">D17+H17-T17</f>
        <v>51</v>
      </c>
      <c r="X17" s="56">
        <f t="shared" si="2"/>
        <v>0.14498596919649553</v>
      </c>
      <c r="Y17" s="57">
        <f t="shared" si="8"/>
        <v>7.3942844290212726</v>
      </c>
    </row>
    <row r="18" spans="1:25" s="3" customFormat="1" ht="24.75" customHeight="1" x14ac:dyDescent="0.3">
      <c r="A18" s="5"/>
      <c r="B18" s="40" t="str">
        <f>'01'!B18</f>
        <v xml:space="preserve">TOTAL Water </v>
      </c>
      <c r="C18" s="48">
        <f>'01'!C18</f>
        <v>0</v>
      </c>
      <c r="D18" s="45">
        <f>'01'!D18</f>
        <v>48</v>
      </c>
      <c r="E18" s="5">
        <v>45</v>
      </c>
      <c r="F18" s="5"/>
      <c r="G18" s="22">
        <v>6.6750000000000007</v>
      </c>
      <c r="H18" s="5">
        <f t="shared" ref="H18" si="17">+H17</f>
        <v>120</v>
      </c>
      <c r="I18" s="5"/>
      <c r="J18" s="22">
        <f t="shared" ref="J18:K18" si="18">+J17</f>
        <v>15.500000000000002</v>
      </c>
      <c r="K18" s="5">
        <f t="shared" si="18"/>
        <v>154</v>
      </c>
      <c r="L18" s="5"/>
      <c r="M18" s="22">
        <f t="shared" ref="M18:T18" si="19">+M17</f>
        <v>22.175000000000004</v>
      </c>
      <c r="N18" s="5">
        <f t="shared" si="19"/>
        <v>0</v>
      </c>
      <c r="O18" s="22">
        <f t="shared" si="19"/>
        <v>0</v>
      </c>
      <c r="P18" s="5">
        <f t="shared" si="19"/>
        <v>0</v>
      </c>
      <c r="Q18" s="22">
        <f t="shared" si="19"/>
        <v>0</v>
      </c>
      <c r="R18" s="5">
        <f t="shared" si="19"/>
        <v>37</v>
      </c>
      <c r="S18" s="22">
        <f t="shared" si="19"/>
        <v>5.2116416040100253</v>
      </c>
      <c r="T18" s="5">
        <f t="shared" si="19"/>
        <v>117</v>
      </c>
      <c r="U18" s="5"/>
      <c r="V18" s="52">
        <f t="shared" ref="V18" si="20">+V17</f>
        <v>16.963358395989978</v>
      </c>
      <c r="W18" s="61">
        <f t="shared" si="13"/>
        <v>-69</v>
      </c>
      <c r="X18" s="58">
        <f t="shared" si="2"/>
        <v>0.14498596919649553</v>
      </c>
      <c r="Y18" s="59">
        <f t="shared" si="8"/>
        <v>-10.004031874558192</v>
      </c>
    </row>
    <row r="19" spans="1:25" s="3" customFormat="1" ht="14.25" customHeight="1" x14ac:dyDescent="0.3">
      <c r="A19" s="5"/>
      <c r="B19" s="40" t="str">
        <f>'01'!B19</f>
        <v>Beer</v>
      </c>
      <c r="C19" s="48">
        <f>'01'!C19</f>
        <v>0</v>
      </c>
      <c r="D19" s="45">
        <f>'01'!D19</f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0"/>
      <c r="W19" s="60">
        <f t="shared" si="13"/>
        <v>0</v>
      </c>
      <c r="X19" s="56">
        <f t="shared" si="2"/>
        <v>0</v>
      </c>
      <c r="Y19" s="57">
        <f t="shared" si="8"/>
        <v>0</v>
      </c>
    </row>
    <row r="20" spans="1:25" ht="14.4" x14ac:dyDescent="0.3">
      <c r="A20" s="16">
        <f t="shared" ref="A20:A28" si="21">+A19+1</f>
        <v>1</v>
      </c>
      <c r="B20" s="17" t="str">
        <f>'01'!B20</f>
        <v xml:space="preserve">TIGER BEER 330ml CAN </v>
      </c>
      <c r="C20" s="49" t="str">
        <f>'01'!C20</f>
        <v>ស្រាបៀរថៃហ្គ័រ (កំប៉ុង ៣៣០មល)</v>
      </c>
      <c r="D20" s="16">
        <f>'01'!D20</f>
        <v>48</v>
      </c>
      <c r="E20" s="17" cm="1">
        <f t="array" ref="E20:E21">'01'!E20:E21</f>
        <v>32</v>
      </c>
      <c r="F20" s="19">
        <v>0</v>
      </c>
      <c r="G20" s="17">
        <v>0</v>
      </c>
      <c r="H20" s="16">
        <f>+SUM('01:31'!H20)</f>
        <v>0</v>
      </c>
      <c r="I20" s="20">
        <f>IF(H20=0,,J20/H20)</f>
        <v>0</v>
      </c>
      <c r="J20" s="16">
        <f>+SUM('01:31'!J21)</f>
        <v>0</v>
      </c>
      <c r="K20" s="21">
        <f>+E20+H20</f>
        <v>32</v>
      </c>
      <c r="L20" s="20">
        <f t="shared" ref="L20:L37" si="22">IF(K20=0,,M20/K20)</f>
        <v>0</v>
      </c>
      <c r="M20" s="20">
        <f t="shared" ref="M20:M37" si="23">+J20+G20</f>
        <v>0</v>
      </c>
      <c r="N20" s="16">
        <f>+SUM('01:31'!N20)</f>
        <v>0</v>
      </c>
      <c r="O20" s="20">
        <f>+SUM('01:31'!O21)</f>
        <v>0</v>
      </c>
      <c r="P20" s="16">
        <f>+SUM('01:31'!P21)</f>
        <v>0</v>
      </c>
      <c r="Q20" s="20">
        <f>+SUM('01:31'!Q21)</f>
        <v>0</v>
      </c>
      <c r="R20" s="16">
        <f>+SUM('01:31'!R20)</f>
        <v>11</v>
      </c>
      <c r="S20" s="20">
        <f>+SUM('01:31'!S21)</f>
        <v>9.7500000000000018</v>
      </c>
      <c r="T20" s="16">
        <f>+K20-N20-R20</f>
        <v>21</v>
      </c>
      <c r="U20" s="18">
        <v>0.48</v>
      </c>
      <c r="V20" s="51">
        <f>T20*U20</f>
        <v>10.08</v>
      </c>
      <c r="W20" s="60">
        <f t="shared" ref="W20:W21" si="24">D20+H20-T20</f>
        <v>27</v>
      </c>
      <c r="X20" s="56">
        <f>IF(T20=0,,V20/T20)</f>
        <v>0.48</v>
      </c>
      <c r="Y20" s="57">
        <f t="shared" si="8"/>
        <v>12.959999999999999</v>
      </c>
    </row>
    <row r="21" spans="1:25" ht="14.4" x14ac:dyDescent="0.3">
      <c r="A21" s="16">
        <f t="shared" si="21"/>
        <v>2</v>
      </c>
      <c r="B21" s="17" t="str">
        <f>'01'!B21</f>
        <v>Heineken 330ml CAN</v>
      </c>
      <c r="C21" s="49" t="str">
        <f>'01'!C21</f>
        <v>ស្រាបៀរហេន័រឃិន (កំប៉ុង ៣៣០មល)</v>
      </c>
      <c r="D21" s="16">
        <f>'01'!D21</f>
        <v>48</v>
      </c>
      <c r="E21" s="17">
        <v>29</v>
      </c>
      <c r="F21" s="19">
        <v>0</v>
      </c>
      <c r="G21" s="17">
        <v>0</v>
      </c>
      <c r="H21" s="16">
        <f>+SUM('01:31'!H21)</f>
        <v>0</v>
      </c>
      <c r="I21" s="20">
        <f>IF(H21=0,,J21/H21)</f>
        <v>0</v>
      </c>
      <c r="J21" s="16">
        <f>+SUM('01:31'!J22)</f>
        <v>0</v>
      </c>
      <c r="K21" s="21">
        <f>+E21+H21</f>
        <v>29</v>
      </c>
      <c r="L21" s="20">
        <f t="shared" si="22"/>
        <v>0</v>
      </c>
      <c r="M21" s="20">
        <f t="shared" si="23"/>
        <v>0</v>
      </c>
      <c r="N21" s="16">
        <f>+SUM('01:31'!N21)</f>
        <v>0</v>
      </c>
      <c r="O21" s="20">
        <f>+SUM('01:31'!O22)</f>
        <v>0</v>
      </c>
      <c r="P21" s="16">
        <f>+SUM('01:31'!P22)</f>
        <v>0</v>
      </c>
      <c r="Q21" s="20">
        <f>+SUM('01:31'!Q22)</f>
        <v>0</v>
      </c>
      <c r="R21" s="16">
        <f>+SUM('01:31'!R21)</f>
        <v>15</v>
      </c>
      <c r="S21" s="20">
        <f>+SUM('01:31'!S22)</f>
        <v>0</v>
      </c>
      <c r="T21" s="16">
        <f>+K21-N21-R21</f>
        <v>14</v>
      </c>
      <c r="U21" s="18">
        <v>0.65</v>
      </c>
      <c r="V21" s="51">
        <f t="shared" ref="V21:V24" si="25">T21*U21</f>
        <v>9.1</v>
      </c>
      <c r="W21" s="60">
        <f t="shared" si="24"/>
        <v>34</v>
      </c>
      <c r="X21" s="56">
        <f t="shared" si="2"/>
        <v>0.65</v>
      </c>
      <c r="Y21" s="57">
        <f t="shared" si="8"/>
        <v>22.1</v>
      </c>
    </row>
    <row r="22" spans="1:25" ht="14.4" x14ac:dyDescent="0.3">
      <c r="A22" s="16">
        <f t="shared" si="21"/>
        <v>3</v>
      </c>
      <c r="B22" s="17">
        <f>'01'!B22</f>
        <v>0</v>
      </c>
      <c r="C22" s="49">
        <f>'01'!C22</f>
        <v>0</v>
      </c>
      <c r="D22" s="16">
        <f>'01'!D22</f>
        <v>0</v>
      </c>
      <c r="E22" s="17"/>
      <c r="F22" s="19">
        <v>0</v>
      </c>
      <c r="G22" s="17">
        <v>0</v>
      </c>
      <c r="H22" s="16">
        <f>+SUM('01:31'!H22)</f>
        <v>0</v>
      </c>
      <c r="I22" s="20">
        <f>IF(H22=0,,J22/H22)</f>
        <v>0</v>
      </c>
      <c r="J22" s="16">
        <f>+SUM('01:31'!J23)</f>
        <v>0</v>
      </c>
      <c r="K22" s="21">
        <f t="shared" ref="K22:K24" si="26">+E22+H22</f>
        <v>0</v>
      </c>
      <c r="L22" s="20">
        <f t="shared" si="22"/>
        <v>0</v>
      </c>
      <c r="M22" s="20">
        <f t="shared" si="23"/>
        <v>0</v>
      </c>
      <c r="N22" s="16">
        <f>+SUM('01:31'!N22)</f>
        <v>0</v>
      </c>
      <c r="O22" s="20">
        <f>+SUM('01:31'!O23)</f>
        <v>0</v>
      </c>
      <c r="P22" s="16">
        <f>+SUM('01:31'!P23)</f>
        <v>0</v>
      </c>
      <c r="Q22" s="20">
        <f>+SUM('01:31'!Q23)</f>
        <v>0</v>
      </c>
      <c r="R22" s="16">
        <f>+SUM('01:31'!R22)</f>
        <v>0</v>
      </c>
      <c r="S22" s="20">
        <f>+SUM('01:31'!S23)</f>
        <v>0</v>
      </c>
      <c r="T22" s="16">
        <f>+K22-N22-R22</f>
        <v>0</v>
      </c>
      <c r="U22" s="20">
        <f t="shared" ref="U22:U37" si="27">IF(T22=0,,V22/T22)</f>
        <v>0</v>
      </c>
      <c r="V22" s="51">
        <f t="shared" si="25"/>
        <v>0</v>
      </c>
      <c r="W22" s="60">
        <f t="shared" si="13"/>
        <v>0</v>
      </c>
      <c r="X22" s="56">
        <f t="shared" si="2"/>
        <v>0</v>
      </c>
      <c r="Y22" s="57">
        <f t="shared" si="8"/>
        <v>0</v>
      </c>
    </row>
    <row r="23" spans="1:25" ht="14.4" x14ac:dyDescent="0.3">
      <c r="A23" s="16">
        <f t="shared" si="21"/>
        <v>4</v>
      </c>
      <c r="B23" s="17">
        <f>'01'!B23</f>
        <v>0</v>
      </c>
      <c r="C23" s="49">
        <f>'01'!C23</f>
        <v>0</v>
      </c>
      <c r="D23" s="16">
        <f>'01'!D23</f>
        <v>0</v>
      </c>
      <c r="E23" s="17"/>
      <c r="F23" s="19">
        <v>0</v>
      </c>
      <c r="G23" s="17">
        <v>0</v>
      </c>
      <c r="H23" s="16">
        <f>+SUM('01:31'!H23)</f>
        <v>0</v>
      </c>
      <c r="I23" s="20">
        <f>IF(H23=0,,J23/H23)</f>
        <v>0</v>
      </c>
      <c r="J23" s="16">
        <f>+SUM('01:31'!J24)</f>
        <v>0</v>
      </c>
      <c r="K23" s="21">
        <f t="shared" si="26"/>
        <v>0</v>
      </c>
      <c r="L23" s="20">
        <f t="shared" si="22"/>
        <v>0</v>
      </c>
      <c r="M23" s="20">
        <f t="shared" si="23"/>
        <v>0</v>
      </c>
      <c r="N23" s="16">
        <f>+SUM('01:31'!N23)</f>
        <v>0</v>
      </c>
      <c r="O23" s="20">
        <f>+SUM('01:31'!O24)</f>
        <v>0</v>
      </c>
      <c r="P23" s="16">
        <f>+SUM('01:31'!P24)</f>
        <v>0</v>
      </c>
      <c r="Q23" s="20">
        <f>+SUM('01:31'!Q24)</f>
        <v>0</v>
      </c>
      <c r="R23" s="16">
        <f>+SUM('01:31'!R23)</f>
        <v>0</v>
      </c>
      <c r="S23" s="20">
        <f>+SUM('01:31'!S24)</f>
        <v>0</v>
      </c>
      <c r="T23" s="16">
        <f>+K23-N23-R23</f>
        <v>0</v>
      </c>
      <c r="U23" s="20">
        <f t="shared" si="27"/>
        <v>0</v>
      </c>
      <c r="V23" s="51">
        <f t="shared" si="25"/>
        <v>0</v>
      </c>
      <c r="W23" s="60">
        <f t="shared" si="13"/>
        <v>0</v>
      </c>
      <c r="X23" s="56">
        <f t="shared" si="2"/>
        <v>0</v>
      </c>
      <c r="Y23" s="57">
        <f t="shared" si="8"/>
        <v>0</v>
      </c>
    </row>
    <row r="24" spans="1:25" ht="14.4" x14ac:dyDescent="0.3">
      <c r="A24" s="16">
        <f t="shared" si="21"/>
        <v>5</v>
      </c>
      <c r="B24" s="17">
        <f>'01'!B24</f>
        <v>0</v>
      </c>
      <c r="C24" s="49">
        <f>'01'!C24</f>
        <v>0</v>
      </c>
      <c r="D24" s="16">
        <f>'01'!D24</f>
        <v>0</v>
      </c>
      <c r="E24" s="17">
        <f>'01'!E24</f>
        <v>0</v>
      </c>
      <c r="F24" s="19">
        <v>0</v>
      </c>
      <c r="G24" s="17">
        <v>0</v>
      </c>
      <c r="H24" s="16">
        <f>+SUM('01:31'!H24)</f>
        <v>0</v>
      </c>
      <c r="I24" s="20">
        <f>IF(H24=0,,J24/H24)</f>
        <v>0</v>
      </c>
      <c r="J24" s="16">
        <f>+SUM('01:31'!J25)</f>
        <v>0</v>
      </c>
      <c r="K24" s="21">
        <f t="shared" si="26"/>
        <v>0</v>
      </c>
      <c r="L24" s="20">
        <f t="shared" si="22"/>
        <v>0</v>
      </c>
      <c r="M24" s="20">
        <f t="shared" si="23"/>
        <v>0</v>
      </c>
      <c r="N24" s="16">
        <f>+SUM('01:31'!N24)</f>
        <v>0</v>
      </c>
      <c r="O24" s="20">
        <f>+SUM('01:31'!O25)</f>
        <v>0</v>
      </c>
      <c r="P24" s="16">
        <f>+SUM('01:31'!P25)</f>
        <v>0</v>
      </c>
      <c r="Q24" s="20">
        <f>+SUM('01:31'!Q25)</f>
        <v>0</v>
      </c>
      <c r="R24" s="16">
        <f>+SUM('01:31'!R24)</f>
        <v>0</v>
      </c>
      <c r="S24" s="20">
        <f>+SUM('01:31'!S25)</f>
        <v>0</v>
      </c>
      <c r="T24" s="16">
        <f>+K24-N24-R24</f>
        <v>0</v>
      </c>
      <c r="U24" s="20">
        <f t="shared" si="27"/>
        <v>0</v>
      </c>
      <c r="V24" s="51">
        <f t="shared" si="25"/>
        <v>0</v>
      </c>
      <c r="W24" s="60">
        <f t="shared" si="13"/>
        <v>0</v>
      </c>
      <c r="X24" s="56">
        <f t="shared" si="2"/>
        <v>0</v>
      </c>
      <c r="Y24" s="57">
        <f t="shared" si="8"/>
        <v>0</v>
      </c>
    </row>
    <row r="25" spans="1:25" hidden="1" x14ac:dyDescent="0.25">
      <c r="A25" s="16">
        <f t="shared" si="21"/>
        <v>6</v>
      </c>
      <c r="B25" s="17"/>
      <c r="C25" s="17"/>
      <c r="D25" s="16">
        <f>'01'!D25</f>
        <v>0</v>
      </c>
      <c r="E25" s="17">
        <v>0</v>
      </c>
      <c r="F25" s="19">
        <v>0</v>
      </c>
      <c r="G25" s="17">
        <v>0</v>
      </c>
      <c r="H25" s="16">
        <f>+SUM('01:31'!H26)</f>
        <v>0</v>
      </c>
      <c r="I25" s="20"/>
      <c r="J25" s="16">
        <f>+SUM('01:31'!J26)</f>
        <v>0</v>
      </c>
      <c r="K25" s="21">
        <f t="shared" ref="K25:K37" si="28">+E25-H25</f>
        <v>0</v>
      </c>
      <c r="L25" s="20">
        <f t="shared" si="22"/>
        <v>0</v>
      </c>
      <c r="M25" s="20">
        <f t="shared" si="23"/>
        <v>0</v>
      </c>
      <c r="N25" s="16">
        <f>+SUM('01:31'!N26)</f>
        <v>0</v>
      </c>
      <c r="O25" s="20">
        <f>+SUM('01:31'!O26)</f>
        <v>0</v>
      </c>
      <c r="P25" s="16">
        <f>+SUM('01:31'!P26)</f>
        <v>0</v>
      </c>
      <c r="Q25" s="20">
        <f>+SUM('01:31'!Q26)</f>
        <v>0</v>
      </c>
      <c r="R25" s="16">
        <f>+SUM('01:31'!R26)</f>
        <v>0</v>
      </c>
      <c r="S25" s="20">
        <f>+SUM('01:31'!S26)</f>
        <v>0</v>
      </c>
      <c r="T25" s="16">
        <f t="shared" ref="T25:T37" si="29">+K25-N25-P25</f>
        <v>0</v>
      </c>
      <c r="U25" s="20">
        <f t="shared" si="27"/>
        <v>0</v>
      </c>
      <c r="V25" s="51">
        <f t="shared" ref="V25:V37" si="30">+M25-O25-Q25-S25</f>
        <v>0</v>
      </c>
      <c r="W25" s="55"/>
      <c r="X25" s="55"/>
      <c r="Y25" s="55"/>
    </row>
    <row r="26" spans="1:25" hidden="1" x14ac:dyDescent="0.25">
      <c r="A26" s="16">
        <f t="shared" si="21"/>
        <v>7</v>
      </c>
      <c r="B26" s="17"/>
      <c r="C26" s="17"/>
      <c r="D26" s="16">
        <f>'01'!D26</f>
        <v>0</v>
      </c>
      <c r="E26" s="17">
        <v>0</v>
      </c>
      <c r="F26" s="19">
        <v>0</v>
      </c>
      <c r="G26" s="17">
        <v>0</v>
      </c>
      <c r="H26" s="16">
        <f>+SUM('01:31'!H27)</f>
        <v>0</v>
      </c>
      <c r="I26" s="20"/>
      <c r="J26" s="16">
        <f>+SUM('01:31'!J27)</f>
        <v>0</v>
      </c>
      <c r="K26" s="21">
        <f t="shared" si="28"/>
        <v>0</v>
      </c>
      <c r="L26" s="20">
        <f t="shared" si="22"/>
        <v>0</v>
      </c>
      <c r="M26" s="20">
        <f t="shared" si="23"/>
        <v>0</v>
      </c>
      <c r="N26" s="16">
        <f>+SUM('01:31'!N27)</f>
        <v>0</v>
      </c>
      <c r="O26" s="20">
        <f>+SUM('01:31'!O27)</f>
        <v>0</v>
      </c>
      <c r="P26" s="16">
        <f>+SUM('01:31'!P27)</f>
        <v>0</v>
      </c>
      <c r="Q26" s="20">
        <f>+SUM('01:31'!Q27)</f>
        <v>0</v>
      </c>
      <c r="R26" s="16">
        <f>+SUM('01:31'!R27)</f>
        <v>0</v>
      </c>
      <c r="S26" s="20">
        <f>+SUM('01:31'!S27)</f>
        <v>0</v>
      </c>
      <c r="T26" s="16">
        <f t="shared" si="29"/>
        <v>0</v>
      </c>
      <c r="U26" s="20">
        <f t="shared" si="27"/>
        <v>0</v>
      </c>
      <c r="V26" s="51">
        <f t="shared" si="30"/>
        <v>0</v>
      </c>
      <c r="W26" s="55"/>
      <c r="X26" s="55"/>
      <c r="Y26" s="55"/>
    </row>
    <row r="27" spans="1:25" hidden="1" x14ac:dyDescent="0.25">
      <c r="A27" s="16">
        <f t="shared" si="21"/>
        <v>8</v>
      </c>
      <c r="B27" s="17"/>
      <c r="C27" s="17"/>
      <c r="D27" s="16">
        <f>'01'!D27</f>
        <v>0</v>
      </c>
      <c r="E27" s="17">
        <v>0</v>
      </c>
      <c r="F27" s="19">
        <v>0</v>
      </c>
      <c r="G27" s="17">
        <v>0</v>
      </c>
      <c r="H27" s="16">
        <f>+SUM('01:31'!H28)</f>
        <v>0</v>
      </c>
      <c r="I27" s="20"/>
      <c r="J27" s="16">
        <f>+SUM('01:31'!J28)</f>
        <v>0</v>
      </c>
      <c r="K27" s="21">
        <f t="shared" si="28"/>
        <v>0</v>
      </c>
      <c r="L27" s="20">
        <f t="shared" si="22"/>
        <v>0</v>
      </c>
      <c r="M27" s="20">
        <f t="shared" si="23"/>
        <v>0</v>
      </c>
      <c r="N27" s="16">
        <f>+SUM('01:31'!N28)</f>
        <v>0</v>
      </c>
      <c r="O27" s="20">
        <f>+SUM('01:31'!O28)</f>
        <v>0</v>
      </c>
      <c r="P27" s="16">
        <f>+SUM('01:31'!P28)</f>
        <v>0</v>
      </c>
      <c r="Q27" s="20">
        <f>+SUM('01:31'!Q28)</f>
        <v>0</v>
      </c>
      <c r="R27" s="16">
        <f>+SUM('01:31'!R28)</f>
        <v>0</v>
      </c>
      <c r="S27" s="20">
        <f>+SUM('01:31'!S28)</f>
        <v>0</v>
      </c>
      <c r="T27" s="16">
        <f t="shared" si="29"/>
        <v>0</v>
      </c>
      <c r="U27" s="20">
        <f t="shared" si="27"/>
        <v>0</v>
      </c>
      <c r="V27" s="51">
        <f t="shared" si="30"/>
        <v>0</v>
      </c>
      <c r="W27" s="55"/>
      <c r="X27" s="55"/>
      <c r="Y27" s="55"/>
    </row>
    <row r="28" spans="1:25" hidden="1" x14ac:dyDescent="0.25">
      <c r="A28" s="16">
        <f t="shared" si="21"/>
        <v>9</v>
      </c>
      <c r="B28" s="17"/>
      <c r="C28" s="17"/>
      <c r="D28" s="16">
        <f>'01'!D28</f>
        <v>0</v>
      </c>
      <c r="E28" s="17">
        <v>0</v>
      </c>
      <c r="F28" s="19">
        <v>0</v>
      </c>
      <c r="G28" s="17">
        <v>0</v>
      </c>
      <c r="H28" s="16">
        <f>+SUM('01:31'!H29)</f>
        <v>0</v>
      </c>
      <c r="I28" s="20"/>
      <c r="J28" s="16">
        <f>+SUM('01:31'!J29)</f>
        <v>0</v>
      </c>
      <c r="K28" s="21">
        <f t="shared" si="28"/>
        <v>0</v>
      </c>
      <c r="L28" s="20">
        <f t="shared" si="22"/>
        <v>0</v>
      </c>
      <c r="M28" s="20">
        <f t="shared" si="23"/>
        <v>0</v>
      </c>
      <c r="N28" s="16">
        <f>+SUM('01:31'!N29)</f>
        <v>0</v>
      </c>
      <c r="O28" s="20">
        <f>+SUM('01:31'!O29)</f>
        <v>0</v>
      </c>
      <c r="P28" s="16">
        <f>+SUM('01:31'!P29)</f>
        <v>0</v>
      </c>
      <c r="Q28" s="20">
        <f>+SUM('01:31'!Q29)</f>
        <v>0</v>
      </c>
      <c r="R28" s="16">
        <f>+SUM('01:31'!R29)</f>
        <v>0</v>
      </c>
      <c r="S28" s="20">
        <f>+SUM('01:31'!S29)</f>
        <v>0</v>
      </c>
      <c r="T28" s="16">
        <f t="shared" si="29"/>
        <v>0</v>
      </c>
      <c r="U28" s="20">
        <f t="shared" si="27"/>
        <v>0</v>
      </c>
      <c r="V28" s="51">
        <f t="shared" si="30"/>
        <v>0</v>
      </c>
      <c r="W28" s="55"/>
      <c r="X28" s="55"/>
      <c r="Y28" s="55"/>
    </row>
    <row r="29" spans="1:25" hidden="1" x14ac:dyDescent="0.25">
      <c r="A29" s="16">
        <f t="shared" ref="A29:A37" si="31">+A28+1</f>
        <v>10</v>
      </c>
      <c r="B29" s="17"/>
      <c r="C29" s="17"/>
      <c r="D29" s="16">
        <f>'01'!D29</f>
        <v>0</v>
      </c>
      <c r="E29" s="17">
        <v>0</v>
      </c>
      <c r="F29" s="19">
        <v>0</v>
      </c>
      <c r="G29" s="17">
        <v>0</v>
      </c>
      <c r="H29" s="16">
        <f>+SUM('01:31'!H30)</f>
        <v>0</v>
      </c>
      <c r="I29" s="20"/>
      <c r="J29" s="16">
        <f>+SUM('01:31'!J30)</f>
        <v>0</v>
      </c>
      <c r="K29" s="21">
        <f t="shared" si="28"/>
        <v>0</v>
      </c>
      <c r="L29" s="20">
        <f t="shared" si="22"/>
        <v>0</v>
      </c>
      <c r="M29" s="20">
        <f t="shared" si="23"/>
        <v>0</v>
      </c>
      <c r="N29" s="16">
        <f>+SUM('01:31'!N30)</f>
        <v>0</v>
      </c>
      <c r="O29" s="20">
        <f>+SUM('01:31'!O30)</f>
        <v>0</v>
      </c>
      <c r="P29" s="16">
        <f>+SUM('01:31'!P30)</f>
        <v>0</v>
      </c>
      <c r="Q29" s="20">
        <f>+SUM('01:31'!Q30)</f>
        <v>0</v>
      </c>
      <c r="R29" s="16">
        <f>+SUM('01:31'!R30)</f>
        <v>0</v>
      </c>
      <c r="S29" s="20">
        <f>+SUM('01:31'!S30)</f>
        <v>0</v>
      </c>
      <c r="T29" s="16">
        <f t="shared" si="29"/>
        <v>0</v>
      </c>
      <c r="U29" s="20">
        <f t="shared" si="27"/>
        <v>0</v>
      </c>
      <c r="V29" s="51">
        <f t="shared" si="30"/>
        <v>0</v>
      </c>
      <c r="W29" s="55"/>
      <c r="X29" s="55"/>
      <c r="Y29" s="55"/>
    </row>
    <row r="30" spans="1:25" hidden="1" x14ac:dyDescent="0.25">
      <c r="A30" s="16">
        <f t="shared" si="31"/>
        <v>11</v>
      </c>
      <c r="B30" s="17"/>
      <c r="C30" s="17"/>
      <c r="D30" s="16">
        <f>'01'!D30</f>
        <v>0</v>
      </c>
      <c r="E30" s="17">
        <v>0</v>
      </c>
      <c r="F30" s="19">
        <v>0</v>
      </c>
      <c r="G30" s="17">
        <v>0</v>
      </c>
      <c r="H30" s="16">
        <f>+SUM('01:31'!H31)</f>
        <v>0</v>
      </c>
      <c r="I30" s="20"/>
      <c r="J30" s="16">
        <f>+SUM('01:31'!J31)</f>
        <v>0</v>
      </c>
      <c r="K30" s="21">
        <f t="shared" si="28"/>
        <v>0</v>
      </c>
      <c r="L30" s="20">
        <f t="shared" si="22"/>
        <v>0</v>
      </c>
      <c r="M30" s="20">
        <f t="shared" si="23"/>
        <v>0</v>
      </c>
      <c r="N30" s="16">
        <f>+SUM('01:31'!N31)</f>
        <v>0</v>
      </c>
      <c r="O30" s="20">
        <f>+SUM('01:31'!O31)</f>
        <v>0</v>
      </c>
      <c r="P30" s="16">
        <f>+SUM('01:31'!P31)</f>
        <v>0</v>
      </c>
      <c r="Q30" s="20">
        <f>+SUM('01:31'!Q31)</f>
        <v>0</v>
      </c>
      <c r="R30" s="16">
        <f>+SUM('01:31'!R31)</f>
        <v>0</v>
      </c>
      <c r="S30" s="20">
        <f>+SUM('01:31'!S31)</f>
        <v>0</v>
      </c>
      <c r="T30" s="16">
        <f t="shared" si="29"/>
        <v>0</v>
      </c>
      <c r="U30" s="20">
        <f t="shared" si="27"/>
        <v>0</v>
      </c>
      <c r="V30" s="51">
        <f t="shared" si="30"/>
        <v>0</v>
      </c>
      <c r="W30" s="55"/>
      <c r="X30" s="55"/>
      <c r="Y30" s="55"/>
    </row>
    <row r="31" spans="1:25" hidden="1" x14ac:dyDescent="0.25">
      <c r="A31" s="16">
        <f t="shared" si="31"/>
        <v>12</v>
      </c>
      <c r="B31" s="17"/>
      <c r="C31" s="17"/>
      <c r="D31" s="16">
        <f>'01'!D31</f>
        <v>0</v>
      </c>
      <c r="E31" s="17">
        <v>0</v>
      </c>
      <c r="F31" s="19">
        <v>0</v>
      </c>
      <c r="G31" s="17">
        <v>0</v>
      </c>
      <c r="H31" s="16">
        <f>+SUM('01:31'!H32)</f>
        <v>0</v>
      </c>
      <c r="I31" s="20"/>
      <c r="J31" s="16">
        <f>+SUM('01:31'!J32)</f>
        <v>0</v>
      </c>
      <c r="K31" s="21">
        <f t="shared" si="28"/>
        <v>0</v>
      </c>
      <c r="L31" s="20">
        <f t="shared" si="22"/>
        <v>0</v>
      </c>
      <c r="M31" s="20">
        <f t="shared" si="23"/>
        <v>0</v>
      </c>
      <c r="N31" s="16">
        <f>+SUM('01:31'!N32)</f>
        <v>0</v>
      </c>
      <c r="O31" s="20">
        <f>+SUM('01:31'!O32)</f>
        <v>0</v>
      </c>
      <c r="P31" s="16">
        <f>+SUM('01:31'!P32)</f>
        <v>0</v>
      </c>
      <c r="Q31" s="20">
        <f>+SUM('01:31'!Q32)</f>
        <v>0</v>
      </c>
      <c r="R31" s="16">
        <f>+SUM('01:31'!R32)</f>
        <v>0</v>
      </c>
      <c r="S31" s="20">
        <f>+SUM('01:31'!S32)</f>
        <v>0</v>
      </c>
      <c r="T31" s="16">
        <f t="shared" si="29"/>
        <v>0</v>
      </c>
      <c r="U31" s="20">
        <f t="shared" si="27"/>
        <v>0</v>
      </c>
      <c r="V31" s="51">
        <f t="shared" si="30"/>
        <v>0</v>
      </c>
      <c r="W31" s="55"/>
      <c r="X31" s="55"/>
      <c r="Y31" s="55"/>
    </row>
    <row r="32" spans="1:25" hidden="1" x14ac:dyDescent="0.25">
      <c r="A32" s="16">
        <f t="shared" si="31"/>
        <v>13</v>
      </c>
      <c r="B32" s="17"/>
      <c r="C32" s="17"/>
      <c r="D32" s="16">
        <f>'01'!D32</f>
        <v>0</v>
      </c>
      <c r="E32" s="17">
        <v>0</v>
      </c>
      <c r="F32" s="19">
        <v>0</v>
      </c>
      <c r="G32" s="17">
        <v>0</v>
      </c>
      <c r="H32" s="16">
        <f>+SUM('01:31'!H33)</f>
        <v>0</v>
      </c>
      <c r="I32" s="20"/>
      <c r="J32" s="16">
        <f>+SUM('01:31'!J33)</f>
        <v>0</v>
      </c>
      <c r="K32" s="21">
        <f t="shared" si="28"/>
        <v>0</v>
      </c>
      <c r="L32" s="20">
        <f t="shared" si="22"/>
        <v>0</v>
      </c>
      <c r="M32" s="20">
        <f t="shared" si="23"/>
        <v>0</v>
      </c>
      <c r="N32" s="16">
        <f>+SUM('01:31'!N33)</f>
        <v>0</v>
      </c>
      <c r="O32" s="20">
        <f>+SUM('01:31'!O33)</f>
        <v>0</v>
      </c>
      <c r="P32" s="16">
        <f>+SUM('01:31'!P33)</f>
        <v>0</v>
      </c>
      <c r="Q32" s="20">
        <f>+SUM('01:31'!Q33)</f>
        <v>0</v>
      </c>
      <c r="R32" s="16">
        <f>+SUM('01:31'!R33)</f>
        <v>0</v>
      </c>
      <c r="S32" s="20">
        <f>+SUM('01:31'!S33)</f>
        <v>0</v>
      </c>
      <c r="T32" s="16">
        <f t="shared" si="29"/>
        <v>0</v>
      </c>
      <c r="U32" s="20">
        <f t="shared" si="27"/>
        <v>0</v>
      </c>
      <c r="V32" s="51">
        <f t="shared" si="30"/>
        <v>0</v>
      </c>
      <c r="W32" s="55"/>
      <c r="X32" s="55"/>
      <c r="Y32" s="55"/>
    </row>
    <row r="33" spans="1:25" hidden="1" x14ac:dyDescent="0.25">
      <c r="A33" s="16">
        <f t="shared" si="31"/>
        <v>14</v>
      </c>
      <c r="B33" s="17"/>
      <c r="C33" s="17"/>
      <c r="D33" s="16">
        <f>'01'!D33</f>
        <v>0</v>
      </c>
      <c r="E33" s="17">
        <v>0</v>
      </c>
      <c r="F33" s="19">
        <v>0</v>
      </c>
      <c r="G33" s="17">
        <v>0</v>
      </c>
      <c r="H33" s="16">
        <f>+SUM('01:31'!H34)</f>
        <v>0</v>
      </c>
      <c r="I33" s="20"/>
      <c r="J33" s="16">
        <f>+SUM('01:31'!J34)</f>
        <v>0</v>
      </c>
      <c r="K33" s="21">
        <f t="shared" si="28"/>
        <v>0</v>
      </c>
      <c r="L33" s="20">
        <f t="shared" si="22"/>
        <v>0</v>
      </c>
      <c r="M33" s="20">
        <f t="shared" si="23"/>
        <v>0</v>
      </c>
      <c r="N33" s="16">
        <f>+SUM('01:31'!N34)</f>
        <v>0</v>
      </c>
      <c r="O33" s="20">
        <f>+SUM('01:31'!O34)</f>
        <v>0</v>
      </c>
      <c r="P33" s="16">
        <f>+SUM('01:31'!P34)</f>
        <v>0</v>
      </c>
      <c r="Q33" s="20">
        <f>+SUM('01:31'!Q34)</f>
        <v>0</v>
      </c>
      <c r="R33" s="16">
        <f>+SUM('01:31'!R34)</f>
        <v>0</v>
      </c>
      <c r="S33" s="20">
        <f>+SUM('01:31'!S34)</f>
        <v>0</v>
      </c>
      <c r="T33" s="16">
        <f t="shared" si="29"/>
        <v>0</v>
      </c>
      <c r="U33" s="20">
        <f t="shared" si="27"/>
        <v>0</v>
      </c>
      <c r="V33" s="51">
        <f t="shared" si="30"/>
        <v>0</v>
      </c>
      <c r="W33" s="55"/>
      <c r="X33" s="55"/>
      <c r="Y33" s="55"/>
    </row>
    <row r="34" spans="1:25" hidden="1" x14ac:dyDescent="0.25">
      <c r="A34" s="16">
        <f t="shared" si="31"/>
        <v>15</v>
      </c>
      <c r="B34" s="17"/>
      <c r="C34" s="17"/>
      <c r="D34" s="16">
        <f>'01'!D34</f>
        <v>0</v>
      </c>
      <c r="E34" s="17">
        <v>0</v>
      </c>
      <c r="F34" s="19">
        <v>0</v>
      </c>
      <c r="G34" s="17">
        <v>0</v>
      </c>
      <c r="H34" s="16">
        <f>+SUM('01:31'!H35)</f>
        <v>0</v>
      </c>
      <c r="I34" s="20"/>
      <c r="J34" s="16">
        <f>+SUM('01:31'!J35)</f>
        <v>0</v>
      </c>
      <c r="K34" s="21">
        <f t="shared" si="28"/>
        <v>0</v>
      </c>
      <c r="L34" s="20">
        <f t="shared" si="22"/>
        <v>0</v>
      </c>
      <c r="M34" s="20">
        <f t="shared" si="23"/>
        <v>0</v>
      </c>
      <c r="N34" s="16">
        <f>+SUM('01:31'!N35)</f>
        <v>0</v>
      </c>
      <c r="O34" s="20">
        <f>+SUM('01:31'!O35)</f>
        <v>0</v>
      </c>
      <c r="P34" s="16">
        <f>+SUM('01:31'!P35)</f>
        <v>0</v>
      </c>
      <c r="Q34" s="20">
        <f>+SUM('01:31'!Q35)</f>
        <v>0</v>
      </c>
      <c r="R34" s="16">
        <f>+SUM('01:31'!R35)</f>
        <v>0</v>
      </c>
      <c r="S34" s="20">
        <f>+SUM('01:31'!S35)</f>
        <v>0</v>
      </c>
      <c r="T34" s="16">
        <f t="shared" si="29"/>
        <v>0</v>
      </c>
      <c r="U34" s="20">
        <f t="shared" si="27"/>
        <v>0</v>
      </c>
      <c r="V34" s="51">
        <f t="shared" si="30"/>
        <v>0</v>
      </c>
      <c r="W34" s="55"/>
      <c r="X34" s="55"/>
      <c r="Y34" s="55"/>
    </row>
    <row r="35" spans="1:25" hidden="1" x14ac:dyDescent="0.25">
      <c r="A35" s="16">
        <f t="shared" si="31"/>
        <v>16</v>
      </c>
      <c r="B35" s="17"/>
      <c r="C35" s="17"/>
      <c r="D35" s="16">
        <f>'01'!D35</f>
        <v>0</v>
      </c>
      <c r="E35" s="17">
        <v>0</v>
      </c>
      <c r="F35" s="19">
        <v>0</v>
      </c>
      <c r="G35" s="17">
        <v>0</v>
      </c>
      <c r="H35" s="16">
        <f>+SUM('01:31'!H36)</f>
        <v>0</v>
      </c>
      <c r="I35" s="20"/>
      <c r="J35" s="16">
        <f>+SUM('01:31'!J36)</f>
        <v>0</v>
      </c>
      <c r="K35" s="21">
        <f t="shared" si="28"/>
        <v>0</v>
      </c>
      <c r="L35" s="20">
        <f t="shared" si="22"/>
        <v>0</v>
      </c>
      <c r="M35" s="20">
        <f t="shared" si="23"/>
        <v>0</v>
      </c>
      <c r="N35" s="16">
        <f>+SUM('01:31'!N36)</f>
        <v>0</v>
      </c>
      <c r="O35" s="20">
        <f>+SUM('01:31'!O36)</f>
        <v>0</v>
      </c>
      <c r="P35" s="16">
        <f>+SUM('01:31'!P36)</f>
        <v>0</v>
      </c>
      <c r="Q35" s="20">
        <f>+SUM('01:31'!Q36)</f>
        <v>0</v>
      </c>
      <c r="R35" s="16">
        <f>+SUM('01:31'!R36)</f>
        <v>0</v>
      </c>
      <c r="S35" s="20">
        <f>+SUM('01:31'!S36)</f>
        <v>0</v>
      </c>
      <c r="T35" s="16">
        <f t="shared" si="29"/>
        <v>0</v>
      </c>
      <c r="U35" s="20">
        <f t="shared" si="27"/>
        <v>0</v>
      </c>
      <c r="V35" s="51">
        <f t="shared" si="30"/>
        <v>0</v>
      </c>
      <c r="W35" s="55"/>
      <c r="X35" s="55"/>
      <c r="Y35" s="55"/>
    </row>
    <row r="36" spans="1:25" hidden="1" x14ac:dyDescent="0.25">
      <c r="A36" s="16">
        <f t="shared" si="31"/>
        <v>17</v>
      </c>
      <c r="B36" s="17"/>
      <c r="C36" s="17"/>
      <c r="D36" s="16">
        <f>'01'!D36</f>
        <v>0</v>
      </c>
      <c r="E36" s="17">
        <v>0</v>
      </c>
      <c r="F36" s="19">
        <v>0</v>
      </c>
      <c r="G36" s="17">
        <v>0</v>
      </c>
      <c r="H36" s="16">
        <f>+SUM('01:31'!H37)</f>
        <v>0</v>
      </c>
      <c r="I36" s="20"/>
      <c r="J36" s="16">
        <f>+SUM('01:31'!J37)</f>
        <v>0</v>
      </c>
      <c r="K36" s="21">
        <f t="shared" si="28"/>
        <v>0</v>
      </c>
      <c r="L36" s="20">
        <f t="shared" si="22"/>
        <v>0</v>
      </c>
      <c r="M36" s="20">
        <f t="shared" si="23"/>
        <v>0</v>
      </c>
      <c r="N36" s="16">
        <f>+SUM('01:31'!N37)</f>
        <v>0</v>
      </c>
      <c r="O36" s="20">
        <f>+SUM('01:31'!O37)</f>
        <v>0</v>
      </c>
      <c r="P36" s="16">
        <f>+SUM('01:31'!P37)</f>
        <v>0</v>
      </c>
      <c r="Q36" s="20">
        <f>+SUM('01:31'!Q37)</f>
        <v>0</v>
      </c>
      <c r="R36" s="16">
        <f>+SUM('01:31'!R37)</f>
        <v>0</v>
      </c>
      <c r="S36" s="20">
        <f>+SUM('01:31'!S37)</f>
        <v>0</v>
      </c>
      <c r="T36" s="16">
        <f t="shared" si="29"/>
        <v>0</v>
      </c>
      <c r="U36" s="20">
        <f t="shared" si="27"/>
        <v>0</v>
      </c>
      <c r="V36" s="51">
        <f t="shared" si="30"/>
        <v>0</v>
      </c>
      <c r="W36" s="55"/>
      <c r="X36" s="55"/>
      <c r="Y36" s="55"/>
    </row>
    <row r="37" spans="1:25" hidden="1" x14ac:dyDescent="0.25">
      <c r="A37" s="16">
        <f t="shared" si="31"/>
        <v>18</v>
      </c>
      <c r="B37" s="17"/>
      <c r="C37" s="17"/>
      <c r="D37" s="16">
        <f>'01'!D37</f>
        <v>0</v>
      </c>
      <c r="E37" s="17">
        <v>0</v>
      </c>
      <c r="F37" s="19">
        <v>0</v>
      </c>
      <c r="G37" s="17">
        <v>0</v>
      </c>
      <c r="H37" s="16">
        <f>+SUM('01:31'!H38)</f>
        <v>0</v>
      </c>
      <c r="I37" s="20"/>
      <c r="J37" s="16">
        <f>+SUM('01:31'!J38)</f>
        <v>0</v>
      </c>
      <c r="K37" s="21">
        <f t="shared" si="28"/>
        <v>0</v>
      </c>
      <c r="L37" s="20">
        <f t="shared" si="22"/>
        <v>0</v>
      </c>
      <c r="M37" s="20">
        <f t="shared" si="23"/>
        <v>0</v>
      </c>
      <c r="N37" s="16">
        <f>+SUM('01:31'!N38)</f>
        <v>0</v>
      </c>
      <c r="O37" s="20">
        <f>+SUM('01:31'!O38)</f>
        <v>0</v>
      </c>
      <c r="P37" s="16">
        <f>+SUM('01:31'!P38)</f>
        <v>0</v>
      </c>
      <c r="Q37" s="20">
        <f>+SUM('01:31'!Q38)</f>
        <v>0</v>
      </c>
      <c r="R37" s="16">
        <f>+SUM('01:31'!R38)</f>
        <v>26</v>
      </c>
      <c r="S37" s="20">
        <f>+SUM('01:31'!S38)</f>
        <v>15.030000000000003</v>
      </c>
      <c r="T37" s="16">
        <f t="shared" si="29"/>
        <v>0</v>
      </c>
      <c r="U37" s="20">
        <f t="shared" si="27"/>
        <v>0</v>
      </c>
      <c r="V37" s="51">
        <f t="shared" si="30"/>
        <v>-15.030000000000003</v>
      </c>
      <c r="W37" s="55"/>
      <c r="X37" s="55"/>
      <c r="Y37" s="55"/>
    </row>
    <row r="38" spans="1:25" s="3" customFormat="1" ht="20.25" customHeight="1" x14ac:dyDescent="0.25">
      <c r="A38" s="5"/>
      <c r="B38" s="40" t="str">
        <f>'01'!B38</f>
        <v>TOTAL BEER</v>
      </c>
      <c r="C38" s="40">
        <f>'01'!C38</f>
        <v>0</v>
      </c>
      <c r="D38" s="45">
        <f>'01'!D38</f>
        <v>96</v>
      </c>
      <c r="E38" s="5">
        <v>0</v>
      </c>
      <c r="F38" s="5"/>
      <c r="G38" s="22">
        <v>0</v>
      </c>
      <c r="H38" s="5">
        <f t="shared" ref="H38" si="32">+SUM(H20:H37)</f>
        <v>0</v>
      </c>
      <c r="I38" s="5"/>
      <c r="J38" s="22">
        <f t="shared" ref="J38:K38" si="33">+SUM(J20:J37)</f>
        <v>0</v>
      </c>
      <c r="K38" s="5">
        <f t="shared" si="33"/>
        <v>61</v>
      </c>
      <c r="L38" s="5"/>
      <c r="M38" s="22">
        <f t="shared" ref="M38:T38" si="34">+SUM(M20:M37)</f>
        <v>0</v>
      </c>
      <c r="N38" s="5">
        <f>+SUM(N20:N37)</f>
        <v>0</v>
      </c>
      <c r="O38" s="22">
        <f t="shared" si="34"/>
        <v>0</v>
      </c>
      <c r="P38" s="5">
        <f t="shared" si="34"/>
        <v>0</v>
      </c>
      <c r="Q38" s="22">
        <f t="shared" si="34"/>
        <v>0</v>
      </c>
      <c r="R38" s="5">
        <f t="shared" si="34"/>
        <v>52</v>
      </c>
      <c r="S38" s="22">
        <f t="shared" si="34"/>
        <v>24.780000000000005</v>
      </c>
      <c r="T38" s="5">
        <f t="shared" si="34"/>
        <v>35</v>
      </c>
      <c r="U38" s="5"/>
      <c r="V38" s="52">
        <f t="shared" ref="V38" si="35">+SUM(V20:V37)</f>
        <v>4.1499999999999968</v>
      </c>
      <c r="W38" s="53"/>
      <c r="X38" s="53"/>
      <c r="Y38" s="53"/>
    </row>
    <row r="39" spans="1:25" s="3" customFormat="1" ht="21.75" customHeight="1" x14ac:dyDescent="0.25">
      <c r="A39" s="5"/>
      <c r="B39" s="40" t="str">
        <f>'01'!B39</f>
        <v xml:space="preserve">Grand TOTAL </v>
      </c>
      <c r="C39" s="40">
        <f>'01'!C39</f>
        <v>0</v>
      </c>
      <c r="D39" s="45">
        <f>'01'!D39</f>
        <v>480</v>
      </c>
      <c r="E39" s="5">
        <v>370</v>
      </c>
      <c r="F39" s="5"/>
      <c r="G39" s="22">
        <v>124.48750000000001</v>
      </c>
      <c r="H39" s="5">
        <f>+SUM(H7:H38)/2</f>
        <v>192</v>
      </c>
      <c r="I39" s="5"/>
      <c r="J39" s="22">
        <f>+SUM(J7:J38)/2</f>
        <v>56</v>
      </c>
      <c r="K39" s="5">
        <f>+SUM(K7:K38)/2</f>
        <v>372</v>
      </c>
      <c r="L39" s="5"/>
      <c r="M39" s="22">
        <f t="shared" ref="M39:T39" si="36">+SUM(M7:M38)/2</f>
        <v>180.48749999999998</v>
      </c>
      <c r="N39" s="5">
        <f>+SUM(N7:N38)/2</f>
        <v>4</v>
      </c>
      <c r="O39" s="22">
        <f t="shared" si="36"/>
        <v>2.1749999999999998</v>
      </c>
      <c r="P39" s="5">
        <f t="shared" si="36"/>
        <v>0</v>
      </c>
      <c r="Q39" s="22">
        <f t="shared" si="36"/>
        <v>0</v>
      </c>
      <c r="R39" s="5">
        <f t="shared" si="36"/>
        <v>132</v>
      </c>
      <c r="S39" s="22">
        <f t="shared" si="36"/>
        <v>45.454141604010026</v>
      </c>
      <c r="T39" s="5">
        <f t="shared" si="36"/>
        <v>262</v>
      </c>
      <c r="U39" s="5"/>
      <c r="V39" s="52">
        <f>+SUM(V7:V38)/2</f>
        <v>95.643358395989992</v>
      </c>
      <c r="W39" s="53"/>
      <c r="X39" s="53"/>
      <c r="Y39" s="53"/>
    </row>
    <row r="41" spans="1:25" x14ac:dyDescent="0.25">
      <c r="A41" s="74" t="s">
        <v>50</v>
      </c>
      <c r="B41" s="74"/>
      <c r="H41" s="74" t="s">
        <v>48</v>
      </c>
      <c r="I41" s="74"/>
      <c r="J41" s="74"/>
      <c r="K41" s="74"/>
      <c r="L41" s="74"/>
      <c r="M41" s="74"/>
      <c r="R41" s="74" t="s">
        <v>49</v>
      </c>
      <c r="S41" s="74"/>
      <c r="T41" s="74"/>
      <c r="U41" s="74"/>
      <c r="V41" s="74"/>
    </row>
    <row r="47" spans="1:25" x14ac:dyDescent="0.25">
      <c r="A47" s="74" t="s">
        <v>51</v>
      </c>
      <c r="B47" s="74"/>
      <c r="H47" s="74" t="s">
        <v>51</v>
      </c>
      <c r="I47" s="74"/>
      <c r="J47" s="74"/>
      <c r="K47" s="74"/>
      <c r="L47" s="74"/>
      <c r="M47" s="74"/>
      <c r="Q47" s="1"/>
      <c r="R47" s="74" t="s">
        <v>51</v>
      </c>
      <c r="S47" s="74"/>
      <c r="T47" s="74"/>
      <c r="U47" s="74"/>
      <c r="V47" s="74"/>
    </row>
  </sheetData>
  <autoFilter ref="A5:V8" xr:uid="{DC917F8D-6670-4335-9D27-316A7CF53799}">
    <filterColumn colId="1" showButton="0"/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5" showButton="0"/>
    <filterColumn colId="17" showButton="0"/>
    <filterColumn colId="19" showButton="0"/>
    <filterColumn colId="20" showButton="0"/>
  </autoFilter>
  <mergeCells count="25">
    <mergeCell ref="W6:Y6"/>
    <mergeCell ref="A2:V2"/>
    <mergeCell ref="A5:A6"/>
    <mergeCell ref="B5:C5"/>
    <mergeCell ref="D5:D6"/>
    <mergeCell ref="E5:G5"/>
    <mergeCell ref="H5:J5"/>
    <mergeCell ref="K5:M5"/>
    <mergeCell ref="N5:O5"/>
    <mergeCell ref="P5:Q5"/>
    <mergeCell ref="R5:S5"/>
    <mergeCell ref="T5:V5"/>
    <mergeCell ref="E6:G6"/>
    <mergeCell ref="R41:V41"/>
    <mergeCell ref="A47:B47"/>
    <mergeCell ref="H47:M47"/>
    <mergeCell ref="R47:V47"/>
    <mergeCell ref="H6:J6"/>
    <mergeCell ref="K6:M6"/>
    <mergeCell ref="N6:O6"/>
    <mergeCell ref="A41:B41"/>
    <mergeCell ref="H41:M41"/>
    <mergeCell ref="P6:Q6"/>
    <mergeCell ref="R6:S6"/>
    <mergeCell ref="T6:V6"/>
  </mergeCells>
  <pageMargins left="0.12" right="0.12" top="0.26" bottom="0.12" header="0.3" footer="0.12"/>
  <pageSetup paperSize="9" scale="62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12B3-4CF3-4A2C-8BC6-7C621C8AB0E4}">
  <sheetPr>
    <tabColor rgb="FFFF0000"/>
  </sheetPr>
  <dimension ref="A1:F13"/>
  <sheetViews>
    <sheetView workbookViewId="0">
      <selection activeCell="D13" sqref="D13"/>
    </sheetView>
  </sheetViews>
  <sheetFormatPr defaultRowHeight="14.4" x14ac:dyDescent="0.3"/>
  <cols>
    <col min="1" max="1" width="13.109375" bestFit="1" customWidth="1"/>
    <col min="2" max="2" width="31.6640625" customWidth="1"/>
    <col min="3" max="3" width="20.33203125" customWidth="1"/>
    <col min="4" max="4" width="22" customWidth="1"/>
    <col min="5" max="5" width="26.88671875" customWidth="1"/>
  </cols>
  <sheetData>
    <row r="1" spans="1:6" ht="28.8" customHeight="1" x14ac:dyDescent="0.45">
      <c r="A1" s="80" t="s">
        <v>74</v>
      </c>
      <c r="B1" s="80"/>
      <c r="C1" s="80"/>
      <c r="D1" s="80"/>
      <c r="E1" s="80"/>
    </row>
    <row r="2" spans="1:6" ht="28.8" customHeight="1" x14ac:dyDescent="0.3"/>
    <row r="3" spans="1:6" ht="19.2" customHeight="1" x14ac:dyDescent="0.3"/>
    <row r="4" spans="1:6" ht="15.6" x14ac:dyDescent="0.3">
      <c r="A4" s="64" t="s">
        <v>38</v>
      </c>
      <c r="B4" s="64" t="s">
        <v>39</v>
      </c>
      <c r="C4" s="65" t="s">
        <v>40</v>
      </c>
      <c r="D4" s="65" t="s">
        <v>41</v>
      </c>
      <c r="E4" s="64" t="s">
        <v>42</v>
      </c>
      <c r="F4" s="7"/>
    </row>
    <row r="5" spans="1:6" x14ac:dyDescent="0.3">
      <c r="A5" s="66">
        <v>5012000</v>
      </c>
      <c r="B5" s="67" t="s">
        <v>71</v>
      </c>
      <c r="C5" s="8">
        <f>+Summary!S39</f>
        <v>45.454141604010026</v>
      </c>
      <c r="D5" s="9"/>
      <c r="E5" s="10"/>
      <c r="F5" s="7"/>
    </row>
    <row r="6" spans="1:6" x14ac:dyDescent="0.3">
      <c r="A6" s="66">
        <v>1250000</v>
      </c>
      <c r="B6" s="68" t="s">
        <v>72</v>
      </c>
      <c r="C6" s="8"/>
      <c r="D6" s="9">
        <f>+C5</f>
        <v>45.454141604010026</v>
      </c>
      <c r="E6" s="10"/>
      <c r="F6" s="7"/>
    </row>
    <row r="7" spans="1:6" x14ac:dyDescent="0.3">
      <c r="A7" s="62" t="s">
        <v>43</v>
      </c>
      <c r="B7" s="62"/>
      <c r="C7" s="63">
        <f>SUM(C5:C6)</f>
        <v>45.454141604010026</v>
      </c>
      <c r="D7" s="63">
        <f>SUM(D5:D6)</f>
        <v>45.454141604010026</v>
      </c>
      <c r="E7" s="62"/>
      <c r="F7" s="7"/>
    </row>
    <row r="8" spans="1:6" x14ac:dyDescent="0.3">
      <c r="A8" s="7"/>
      <c r="B8" s="7"/>
      <c r="C8" s="7"/>
      <c r="D8" s="7"/>
      <c r="E8" s="7"/>
      <c r="F8" s="7"/>
    </row>
    <row r="13" spans="1:6" x14ac:dyDescent="0.3">
      <c r="D13">
        <v>9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  <vt:lpstr>POSTED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Maleap</dc:creator>
  <cp:lastModifiedBy>KLIN TOL</cp:lastModifiedBy>
  <cp:lastPrinted>2024-12-06T03:55:50Z</cp:lastPrinted>
  <dcterms:created xsi:type="dcterms:W3CDTF">2024-10-30T07:54:22Z</dcterms:created>
  <dcterms:modified xsi:type="dcterms:W3CDTF">2026-08-30T08:13:22Z</dcterms:modified>
</cp:coreProperties>
</file>